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yujun\github_file\project\fightcar\tests\log\1026senser_test\sensor_records\"/>
    </mc:Choice>
  </mc:AlternateContent>
  <bookViews>
    <workbookView windowHeight="17680" tabRatio="500" activeTab="2"/>
  </bookViews>
  <sheets>
    <sheet name="光电传感器" sheetId="1" r:id="rId1"/>
    <sheet name="距离传感器" sheetId="2" r:id="rId2"/>
    <sheet name="灰度传感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<sst xmlns="http://schemas.openxmlformats.org/spreadsheetml/2006/main" count="81" uniqueCount="71">
  <si>
    <t>光电传感器实验记录</t>
  </si>
  <si>
    <t>光电表面</t>
  </si>
  <si>
    <t>表面</t>
  </si>
  <si>
    <t>重复</t>
  </si>
  <si>
    <t>去程距离(cm)</t>
  </si>
  <si>
    <t>回程距离(cm)</t>
  </si>
  <si>
    <t>回程−去程(cm)</t>
  </si>
  <si>
    <t>绝对差(cm)</t>
  </si>
  <si>
    <t>粗糙</t>
  </si>
  <si>
    <t>光面</t>
  </si>
  <si>
    <t>去程均值cm</t>
  </si>
  <si>
    <t>去程样本SD</t>
  </si>
  <si>
    <t>回程均值cm</t>
  </si>
  <si>
    <t>回程样本SD</t>
  </si>
  <si>
    <t>平均绝对差cm</t>
  </si>
  <si>
    <t>光电角度</t>
  </si>
  <si>
    <t>角度(°)</t>
  </si>
  <si>
    <t>第1次测量(cm)</t>
  </si>
  <si>
    <t>第2次测量(cm)</t>
  </si>
  <si>
    <t>第3次测量(cm)</t>
  </si>
  <si>
    <t>均值(cm)</t>
  </si>
  <si>
    <t>样本标准差(cm)</t>
  </si>
  <si>
    <t>距离传感器实验记录</t>
  </si>
  <si>
    <t>距离静态</t>
  </si>
  <si>
    <t>速度=0；颜色、夹角、照明及每点采样量未记录。小数照原样保存，未假定它是均值。</t>
  </si>
  <si>
    <t>间距cm</t>
  </si>
  <si>
    <t>静态基准ADC</t>
  </si>
  <si>
    <t>距离颜色</t>
  </si>
  <si>
    <t>基准_颜色未注</t>
  </si>
  <si>
    <t>白色ADC</t>
  </si>
  <si>
    <t>黑色ADC</t>
  </si>
  <si>
    <t>黑−白ADC</t>
  </si>
  <si>
    <t>相对白色差异</t>
  </si>
  <si>
    <t>距离角度</t>
  </si>
  <si>
    <t>基准_夹角未注</t>
  </si>
  <si>
    <t>15° ADC</t>
  </si>
  <si>
    <t>30° ADC</t>
  </si>
  <si>
    <t>45° ADC</t>
  </si>
  <si>
    <t>距离候选标定</t>
  </si>
  <si>
    <t>候选模型 d=a/ADC+b，仅用于当前8点记录范围。下列是同点拟合残差，不是独立验证精度。</t>
  </si>
  <si>
    <t>基准距离cm</t>
  </si>
  <si>
    <t>基准ADC</t>
  </si>
  <si>
    <t>1/ADC</t>
  </si>
  <si>
    <t>模型距离cm</t>
  </si>
  <si>
    <t>残差cm</t>
  </si>
  <si>
    <t>绝对残差cm</t>
  </si>
  <si>
    <t>残差平方</t>
  </si>
  <si>
    <t>参数</t>
  </si>
  <si>
    <t>值</t>
  </si>
  <si>
    <t>a</t>
  </si>
  <si>
    <t>b（cm）</t>
  </si>
  <si>
    <t>同点拟合RMSE cm</t>
  </si>
  <si>
    <t>同点最大绝对残差cm</t>
  </si>
  <si>
    <t>拟合点数</t>
  </si>
  <si>
    <t>最小有效ADC</t>
  </si>
  <si>
    <t>最大有效ADC</t>
  </si>
  <si>
    <t>独立验证</t>
  </si>
  <si>
    <t>未提供</t>
  </si>
  <si>
    <t>灰度传感器实验记录</t>
  </si>
  <si>
    <t>灰度距离</t>
  </si>
  <si>
    <t>1最白、9最黑</t>
  </si>
  <si>
    <t>色卡编号</t>
  </si>
  <si>
    <t>1cm ADC</t>
  </si>
  <si>
    <t>3cm ADC</t>
  </si>
  <si>
    <t>5cm ADC</t>
  </si>
  <si>
    <t>15cm ADC</t>
  </si>
  <si>
    <t>灰度光照</t>
  </si>
  <si>
    <t>暗_3cm ADC</t>
  </si>
  <si>
    <t>亮_3cm ADC</t>
  </si>
  <si>
    <t>亮−暗ADC</t>
  </si>
  <si>
    <t>相对暗差异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</si>
</sst>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7">
    <font>
      <sz val="11"/>
      <color theme="1"/>
      <name val="宋体"/>
      <charset val="1"/>
    </font>
    <font>
      <b/>
      <sz val="14"/>
      <color rgb="FF000000"/>
      <name val="宋体"/>
      <charset val="1"/>
    </font>
    <font>
      <sz val="11"/>
      <color rgb="FF000000"/>
      <name val="宋体"/>
      <charset val="1"/>
    </font>
    <font>
      <b/>
      <sz val="12"/>
      <color rgb="FF000000"/>
      <name val="宋体"/>
      <charset val="1"/>
    </font>
    <font>
      <sz val="10"/>
      <color rgb="FF000000"/>
      <name val="宋体"/>
      <charset val="1"/>
    </font>
    <font>
      <b/>
      <sz val="11"/>
      <color rgb="FF00000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F9188"/>
      <rgbColor rgb="00CCCCCC"/>
      <rgbColor rgb="00878787"/>
      <rgbColor rgb="008B5CF6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63EB"/>
      <rgbColor rgb="0033CCCC"/>
      <rgbColor rgb="0099CC00"/>
      <rgbColor rgb="00FFCC00"/>
      <rgbColor rgb="00FF9900"/>
      <rgbColor rgb="00D97706"/>
      <rgbColor rgb="0064748B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表面条件与平均探测距离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"去程均值cm"</c:f>
              <c:strCache>
                <c:ptCount val="1"/>
                <c:pt idx="0">
                  <c:v>去程均值cm</c:v>
                </c:pt>
              </c:strCache>
            </c:strRef>
          </c:tx>
          <c:spPr>
            <a:solidFill>
              <a:srgbClr val="2563EB"/>
            </a:solidFill>
            <a:ln w="19080">
              <a:solidFill>
                <a:srgbClr val="2563E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光电传感器!$A$17:$A$18</c:f>
              <c:strCache>
                <c:ptCount val="2"/>
                <c:pt idx="0" c:formatCode="0.00">
                  <c:v>粗糙</c:v>
                </c:pt>
                <c:pt idx="1" c:formatCode="0.00">
                  <c:v>光面</c:v>
                </c:pt>
              </c:strCache>
            </c:strRef>
          </c:cat>
          <c:val>
            <c:numRef>
              <c:f>光电传感器!$B$17:$B$18</c:f>
              <c:numCache>
                <c:formatCode>0.00</c:formatCode>
                <c:ptCount val="2"/>
                <c:pt idx="0">
                  <c:v>36.0666666666667</c:v>
                </c:pt>
                <c:pt idx="1">
                  <c:v>52.2333333333333</c:v>
                </c:pt>
              </c:numCache>
            </c:numRef>
          </c:val>
        </c:ser>
        <c:ser>
          <c:idx val="1"/>
          <c:order val="1"/>
          <c:tx>
            <c:strRef>
              <c:f>"回程均值cm"</c:f>
              <c:strCache>
                <c:ptCount val="1"/>
                <c:pt idx="0">
                  <c:v>回程均值cm</c:v>
                </c:pt>
              </c:strCache>
            </c:strRef>
          </c:tx>
          <c:spPr>
            <a:solidFill>
              <a:srgbClr val="0F9188"/>
            </a:solidFill>
            <a:ln w="19080">
              <a:solidFill>
                <a:srgbClr val="0F918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光电传感器!$A$17:$A$18</c:f>
              <c:strCache>
                <c:ptCount val="2"/>
                <c:pt idx="0" c:formatCode="0.00">
                  <c:v>粗糙</c:v>
                </c:pt>
                <c:pt idx="1" c:formatCode="0.00">
                  <c:v>光面</c:v>
                </c:pt>
              </c:strCache>
            </c:strRef>
          </c:cat>
          <c:val>
            <c:numRef>
              <c:f>光电传感器!$D$17:$D$18</c:f>
              <c:numCache>
                <c:formatCode>0.00</c:formatCode>
                <c:ptCount val="2"/>
                <c:pt idx="0">
                  <c:v>35.8666666666667</c:v>
                </c:pt>
                <c:pt idx="1">
                  <c:v>51.8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5356096"/>
        <c:axId val="15789879"/>
      </c:barChart>
      <c:catAx>
        <c:axId val="8535609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15789879"/>
        <c:crosses val="autoZero"/>
        <c:auto val="1"/>
        <c:lblAlgn val="ctr"/>
        <c:lblOffset val="100"/>
        <c:noMultiLvlLbl val="0"/>
      </c:catAx>
      <c:valAx>
        <c:axId val="1578987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距离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(cm)</a:t>
                </a:r>
                <a:endParaRPr lang="en-US"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85356096"/>
        <c:crosses val="autoZero"/>
        <c:crossBetween val="between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87a6a55-695d-4854-a1e1-adbc1567b380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夹角与平均探测距离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"均值(cm)"</c:f>
              <c:strCache>
                <c:ptCount val="1"/>
                <c:pt idx="0">
                  <c:v>均值(cm)</c:v>
                </c:pt>
              </c:strCache>
            </c:strRef>
          </c:tx>
          <c:spPr>
            <a:ln w="1908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光电传感器!$A$29:$A$32</c:f>
              <c:numCache>
                <c:formatCode>0</c:formatCode>
                <c:ptCount val="4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</c:numCache>
            </c:numRef>
          </c:xVal>
          <c:yVal>
            <c:numRef>
              <c:f>光电传感器!$E$29:$E$32</c:f>
              <c:numCache>
                <c:formatCode>0.00</c:formatCode>
                <c:ptCount val="4"/>
                <c:pt idx="0">
                  <c:v>33.6666666666667</c:v>
                </c:pt>
                <c:pt idx="1">
                  <c:v>30.0333333333333</c:v>
                </c:pt>
                <c:pt idx="2">
                  <c:v>27.6333333333333</c:v>
                </c:pt>
                <c:pt idx="3">
                  <c:v>24.2333333333333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0416652"/>
        <c:axId val="57733833"/>
      </c:scatterChart>
      <c:valAx>
        <c:axId val="7041665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目标夹角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(°)</a:t>
                </a:r>
                <a:endParaRPr lang="en-US"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57733833"/>
        <c:crosses val="autoZero"/>
        <c:crossBetween val="midCat"/>
      </c:valAx>
      <c:valAx>
        <c:axId val="5773383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距离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(cm)</a:t>
                </a:r>
                <a:endParaRPr lang="en-US"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70416652"/>
        <c:crosses val="autoZero"/>
        <c:crossBetween val="midCat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b44a237-d3da-445c-82ae-4b107bb7db65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静态基准曲线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"静态基准ADC"</c:f>
              <c:strCache>
                <c:ptCount val="1"/>
                <c:pt idx="0">
                  <c:v>静态基准ADC</c:v>
                </c:pt>
              </c:strCache>
            </c:strRef>
          </c:tx>
          <c:spPr>
            <a:ln w="1908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距离传感器!$A$7:$A$14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距离传感器!$B$7:$B$14</c:f>
              <c:numCache>
                <c:formatCode>0.00</c:formatCode>
                <c:ptCount val="8"/>
                <c:pt idx="0">
                  <c:v>2593.3</c:v>
                </c:pt>
                <c:pt idx="1">
                  <c:v>1323.5</c:v>
                </c:pt>
                <c:pt idx="2">
                  <c:v>859.45</c:v>
                </c:pt>
                <c:pt idx="3">
                  <c:v>628.25</c:v>
                </c:pt>
                <c:pt idx="4">
                  <c:v>489.5</c:v>
                </c:pt>
                <c:pt idx="5">
                  <c:v>400.5</c:v>
                </c:pt>
                <c:pt idx="6">
                  <c:v>325.2</c:v>
                </c:pt>
                <c:pt idx="7">
                  <c:v>276.8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5775477"/>
        <c:axId val="65557301"/>
      </c:scatterChart>
      <c:valAx>
        <c:axId val="7577547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间距(cm)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65557301"/>
        <c:crosses val="autoZero"/>
        <c:crossBetween val="midCat"/>
      </c:valAx>
      <c:valAx>
        <c:axId val="6555730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ADC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75775477"/>
        <c:crosses val="autoZero"/>
        <c:crossBetween val="midCat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9ee2954-d319-4ff8-b1f0-eb8674088514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颜色对ADC的影响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"基准_颜色未注"</c:f>
              <c:strCache>
                <c:ptCount val="1"/>
                <c:pt idx="0">
                  <c:v>基准_颜色未注</c:v>
                </c:pt>
              </c:strCache>
            </c:strRef>
          </c:tx>
          <c:spPr>
            <a:ln w="19080" cap="rnd">
              <a:solidFill>
                <a:srgbClr val="64748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距离传感器!$A$28:$A$35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距离传感器!$B$28:$B$35</c:f>
              <c:numCache>
                <c:formatCode>0.00</c:formatCode>
                <c:ptCount val="8"/>
                <c:pt idx="0">
                  <c:v>2593.3</c:v>
                </c:pt>
                <c:pt idx="1">
                  <c:v>1323.5</c:v>
                </c:pt>
                <c:pt idx="2">
                  <c:v>859.45</c:v>
                </c:pt>
                <c:pt idx="3">
                  <c:v>628.25</c:v>
                </c:pt>
                <c:pt idx="4">
                  <c:v>489.5</c:v>
                </c:pt>
                <c:pt idx="5">
                  <c:v>400.5</c:v>
                </c:pt>
                <c:pt idx="6">
                  <c:v>325.2</c:v>
                </c:pt>
                <c:pt idx="7">
                  <c:v>276.8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"白色ADC"</c:f>
              <c:strCache>
                <c:ptCount val="1"/>
                <c:pt idx="0">
                  <c:v>白色ADC</c:v>
                </c:pt>
              </c:strCache>
            </c:strRef>
          </c:tx>
          <c:spPr>
            <a:ln w="19080" cap="rnd">
              <a:solidFill>
                <a:srgbClr val="0F91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距离传感器!$A$28:$A$35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距离传感器!$C$28:$C$35</c:f>
              <c:numCache>
                <c:formatCode>0.00</c:formatCode>
                <c:ptCount val="8"/>
                <c:pt idx="0">
                  <c:v>2589.85</c:v>
                </c:pt>
                <c:pt idx="1">
                  <c:v>1325.4</c:v>
                </c:pt>
                <c:pt idx="2">
                  <c:v>881.7</c:v>
                </c:pt>
                <c:pt idx="3">
                  <c:v>640.35</c:v>
                </c:pt>
                <c:pt idx="4">
                  <c:v>521.85</c:v>
                </c:pt>
                <c:pt idx="5">
                  <c:v>404.45</c:v>
                </c:pt>
                <c:pt idx="6">
                  <c:v>318.5</c:v>
                </c:pt>
                <c:pt idx="7">
                  <c:v>275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"黑色ADC"</c:f>
              <c:strCache>
                <c:ptCount val="1"/>
                <c:pt idx="0">
                  <c:v>黑色ADC</c:v>
                </c:pt>
              </c:strCache>
            </c:strRef>
          </c:tx>
          <c:spPr>
            <a:ln w="19080" cap="rnd">
              <a:solidFill>
                <a:srgbClr val="D9770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距离传感器!$A$28:$A$35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距离传感器!$D$28:$D$35</c:f>
              <c:numCache>
                <c:formatCode>0.00</c:formatCode>
                <c:ptCount val="8"/>
                <c:pt idx="0">
                  <c:v>2601.2</c:v>
                </c:pt>
                <c:pt idx="1">
                  <c:v>1288.45</c:v>
                </c:pt>
                <c:pt idx="2">
                  <c:v>869.95</c:v>
                </c:pt>
                <c:pt idx="3">
                  <c:v>627.55</c:v>
                </c:pt>
                <c:pt idx="4">
                  <c:v>493.3</c:v>
                </c:pt>
                <c:pt idx="5">
                  <c:v>393.55</c:v>
                </c:pt>
                <c:pt idx="6">
                  <c:v>306.3</c:v>
                </c:pt>
                <c:pt idx="7">
                  <c:v>247.5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9049472"/>
        <c:axId val="52196721"/>
      </c:scatterChart>
      <c:valAx>
        <c:axId val="7904947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间距(cm)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52196721"/>
        <c:crosses val="autoZero"/>
        <c:crossBetween val="midCat"/>
      </c:valAx>
      <c:valAx>
        <c:axId val="521967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ADC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79049472"/>
        <c:crosses val="autoZero"/>
        <c:crossBetween val="midCat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8bffd32-e36b-4535-8af1-a15cb26aba49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目标夹角对ADC的影响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"基准_夹角未注"</c:f>
              <c:strCache>
                <c:ptCount val="1"/>
                <c:pt idx="0">
                  <c:v>基准_夹角未注</c:v>
                </c:pt>
              </c:strCache>
            </c:strRef>
          </c:tx>
          <c:spPr>
            <a:ln w="19080" cap="rnd">
              <a:solidFill>
                <a:srgbClr val="64748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距离传感器!$A$49:$A$56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距离传感器!$B$49:$B$56</c:f>
              <c:numCache>
                <c:formatCode>0.00</c:formatCode>
                <c:ptCount val="8"/>
                <c:pt idx="0">
                  <c:v>2593.3</c:v>
                </c:pt>
                <c:pt idx="1">
                  <c:v>1323.5</c:v>
                </c:pt>
                <c:pt idx="2">
                  <c:v>859.45</c:v>
                </c:pt>
                <c:pt idx="3">
                  <c:v>628.25</c:v>
                </c:pt>
                <c:pt idx="4">
                  <c:v>489.5</c:v>
                </c:pt>
                <c:pt idx="5">
                  <c:v>400.5</c:v>
                </c:pt>
                <c:pt idx="6">
                  <c:v>325.2</c:v>
                </c:pt>
                <c:pt idx="7">
                  <c:v>276.8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"15° ADC"</c:f>
              <c:strCache>
                <c:ptCount val="1"/>
                <c:pt idx="0">
                  <c:v>15° ADC</c:v>
                </c:pt>
              </c:strCache>
            </c:strRef>
          </c:tx>
          <c:spPr>
            <a:ln w="19080" cap="rnd">
              <a:solidFill>
                <a:srgbClr val="0F91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距离传感器!$A$49:$A$56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距离传感器!$C$49:$C$56</c:f>
              <c:numCache>
                <c:formatCode>0.00</c:formatCode>
                <c:ptCount val="8"/>
                <c:pt idx="0">
                  <c:v>2595.8</c:v>
                </c:pt>
                <c:pt idx="1">
                  <c:v>1296.95</c:v>
                </c:pt>
                <c:pt idx="2">
                  <c:v>847.25</c:v>
                </c:pt>
                <c:pt idx="3">
                  <c:v>624.4</c:v>
                </c:pt>
                <c:pt idx="4">
                  <c:v>515.15</c:v>
                </c:pt>
                <c:pt idx="5">
                  <c:v>410.3</c:v>
                </c:pt>
                <c:pt idx="6">
                  <c:v>317.8</c:v>
                </c:pt>
                <c:pt idx="7">
                  <c:v>260.85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"30° ADC"</c:f>
              <c:strCache>
                <c:ptCount val="1"/>
                <c:pt idx="0">
                  <c:v>30° ADC</c:v>
                </c:pt>
              </c:strCache>
            </c:strRef>
          </c:tx>
          <c:spPr>
            <a:ln w="19080" cap="rnd">
              <a:solidFill>
                <a:srgbClr val="D9770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距离传感器!$A$49:$A$56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距离传感器!$D$49:$D$56</c:f>
              <c:numCache>
                <c:formatCode>0.00</c:formatCode>
                <c:ptCount val="8"/>
                <c:pt idx="0">
                  <c:v>2585.95</c:v>
                </c:pt>
                <c:pt idx="1">
                  <c:v>1235.6</c:v>
                </c:pt>
                <c:pt idx="2">
                  <c:v>820.7</c:v>
                </c:pt>
                <c:pt idx="3">
                  <c:v>597.95</c:v>
                </c:pt>
                <c:pt idx="4">
                  <c:v>464.8</c:v>
                </c:pt>
                <c:pt idx="5">
                  <c:v>393.85</c:v>
                </c:pt>
                <c:pt idx="6">
                  <c:v>302.25</c:v>
                </c:pt>
                <c:pt idx="7">
                  <c:v>283.1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"45° ADC"</c:f>
              <c:strCache>
                <c:ptCount val="1"/>
                <c:pt idx="0">
                  <c:v>45° ADC</c:v>
                </c:pt>
              </c:strCache>
            </c:strRef>
          </c:tx>
          <c:spPr>
            <a:ln w="19080" cap="rnd">
              <a:solidFill>
                <a:srgbClr val="8B5CF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距离传感器!$A$49:$A$56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距离传感器!$E$49:$E$56</c:f>
              <c:numCache>
                <c:formatCode>0.00</c:formatCode>
                <c:ptCount val="8"/>
                <c:pt idx="0">
                  <c:v>2423.8</c:v>
                </c:pt>
                <c:pt idx="1">
                  <c:v>1197.2</c:v>
                </c:pt>
                <c:pt idx="2">
                  <c:v>815.15</c:v>
                </c:pt>
                <c:pt idx="3">
                  <c:v>591.05</c:v>
                </c:pt>
                <c:pt idx="4">
                  <c:v>464.65</c:v>
                </c:pt>
                <c:pt idx="5">
                  <c:v>355.9</c:v>
                </c:pt>
                <c:pt idx="6">
                  <c:v>302.15</c:v>
                </c:pt>
                <c:pt idx="7">
                  <c:v>264.25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7758689"/>
        <c:axId val="9727231"/>
      </c:scatterChart>
      <c:valAx>
        <c:axId val="7775868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间距(cm)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9727231"/>
        <c:crosses val="autoZero"/>
        <c:crossBetween val="midCat"/>
      </c:valAx>
      <c:valAx>
        <c:axId val="972723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ADC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77758689"/>
        <c:crosses val="autoZero"/>
        <c:crossBetween val="midCat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5c6fad1-e685-4196-9b96-02799729605a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候选标定的同点输出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"模型距离cm"</c:f>
              <c:strCache>
                <c:ptCount val="1"/>
                <c:pt idx="0">
                  <c:v>模型距离cm</c:v>
                </c:pt>
              </c:strCache>
            </c:strRef>
          </c:tx>
          <c:spPr>
            <a:ln w="1908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距离传感器!$A$70:$A$77</c:f>
              <c:numCache>
                <c:formatCode>0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距离传感器!$D$70:$D$77</c:f>
              <c:numCache>
                <c:formatCode>0.00</c:formatCode>
                <c:ptCount val="8"/>
                <c:pt idx="0">
                  <c:v>12.4454101547669</c:v>
                </c:pt>
                <c:pt idx="1">
                  <c:v>20.448671976808</c:v>
                </c:pt>
                <c:pt idx="2">
                  <c:v>29.2739546196038</c:v>
                </c:pt>
                <c:pt idx="3">
                  <c:v>38.5367724788308</c:v>
                </c:pt>
                <c:pt idx="4">
                  <c:v>48.2969160497401</c:v>
                </c:pt>
                <c:pt idx="5">
                  <c:v>58.1176330842527</c:v>
                </c:pt>
                <c:pt idx="6">
                  <c:v>70.6245517799581</c:v>
                </c:pt>
                <c:pt idx="7">
                  <c:v>82.2560898560397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0733942"/>
        <c:axId val="12296521"/>
      </c:scatterChart>
      <c:valAx>
        <c:axId val="7073394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基准距离(cm)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12296521"/>
        <c:crosses val="autoZero"/>
        <c:crossBetween val="midCat"/>
      </c:valAx>
      <c:valAx>
        <c:axId val="122965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模型距离(cm)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70733942"/>
        <c:crosses val="autoZero"/>
        <c:crossBetween val="midCat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f1eadaa-84ed-4b38-adff-7f055baefa59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距离与灰度色卡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"1cm ADC"</c:f>
              <c:strCache>
                <c:ptCount val="1"/>
                <c:pt idx="0">
                  <c:v>1cm ADC</c:v>
                </c:pt>
              </c:strCache>
            </c:strRef>
          </c:tx>
          <c:spPr>
            <a:ln w="1908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灰度传感器!$A$7:$A$15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灰度传感器!$B$7:$B$15</c:f>
              <c:numCache>
                <c:formatCode>0</c:formatCode>
                <c:ptCount val="9"/>
                <c:pt idx="0">
                  <c:v>2450</c:v>
                </c:pt>
                <c:pt idx="1">
                  <c:v>2050</c:v>
                </c:pt>
                <c:pt idx="2">
                  <c:v>1350</c:v>
                </c:pt>
                <c:pt idx="3">
                  <c:v>930</c:v>
                </c:pt>
                <c:pt idx="4">
                  <c:v>630</c:v>
                </c:pt>
                <c:pt idx="5">
                  <c:v>535</c:v>
                </c:pt>
                <c:pt idx="6">
                  <c:v>380</c:v>
                </c:pt>
                <c:pt idx="7">
                  <c:v>270</c:v>
                </c:pt>
                <c:pt idx="8">
                  <c:v>185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"3cm ADC"</c:f>
              <c:strCache>
                <c:ptCount val="1"/>
                <c:pt idx="0">
                  <c:v>3cm ADC</c:v>
                </c:pt>
              </c:strCache>
            </c:strRef>
          </c:tx>
          <c:spPr>
            <a:ln w="19080" cap="rnd">
              <a:solidFill>
                <a:srgbClr val="0F91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灰度传感器!$A$7:$A$15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灰度传感器!$C$7:$C$15</c:f>
              <c:numCache>
                <c:formatCode>0</c:formatCode>
                <c:ptCount val="9"/>
                <c:pt idx="0">
                  <c:v>1280</c:v>
                </c:pt>
                <c:pt idx="1">
                  <c:v>1000</c:v>
                </c:pt>
                <c:pt idx="2">
                  <c:v>880</c:v>
                </c:pt>
                <c:pt idx="3">
                  <c:v>640</c:v>
                </c:pt>
                <c:pt idx="4">
                  <c:v>460</c:v>
                </c:pt>
                <c:pt idx="5">
                  <c:v>335</c:v>
                </c:pt>
                <c:pt idx="6">
                  <c:v>245</c:v>
                </c:pt>
                <c:pt idx="7">
                  <c:v>150</c:v>
                </c:pt>
                <c:pt idx="8">
                  <c:v>113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"5cm ADC"</c:f>
              <c:strCache>
                <c:ptCount val="1"/>
                <c:pt idx="0">
                  <c:v>5cm ADC</c:v>
                </c:pt>
              </c:strCache>
            </c:strRef>
          </c:tx>
          <c:spPr>
            <a:ln w="19080" cap="rnd">
              <a:solidFill>
                <a:srgbClr val="D9770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灰度传感器!$A$7:$A$15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灰度传感器!$D$7:$D$15</c:f>
              <c:numCache>
                <c:formatCode>0</c:formatCode>
                <c:ptCount val="9"/>
                <c:pt idx="0">
                  <c:v>455</c:v>
                </c:pt>
                <c:pt idx="1">
                  <c:v>355</c:v>
                </c:pt>
                <c:pt idx="2">
                  <c:v>290</c:v>
                </c:pt>
                <c:pt idx="3">
                  <c:v>243</c:v>
                </c:pt>
                <c:pt idx="4">
                  <c:v>200</c:v>
                </c:pt>
                <c:pt idx="5">
                  <c:v>150</c:v>
                </c:pt>
                <c:pt idx="6">
                  <c:v>123</c:v>
                </c:pt>
                <c:pt idx="7">
                  <c:v>90</c:v>
                </c:pt>
                <c:pt idx="8">
                  <c:v>80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"15cm ADC"</c:f>
              <c:strCache>
                <c:ptCount val="1"/>
                <c:pt idx="0">
                  <c:v>15cm ADC</c:v>
                </c:pt>
              </c:strCache>
            </c:strRef>
          </c:tx>
          <c:spPr>
            <a:ln w="19080" cap="rnd">
              <a:solidFill>
                <a:srgbClr val="8B5CF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灰度传感器!$A$7:$A$15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灰度传感器!$E$7:$E$15</c:f>
              <c:numCache>
                <c:formatCode>0</c:formatCode>
                <c:ptCount val="9"/>
                <c:pt idx="0">
                  <c:v>125</c:v>
                </c:pt>
                <c:pt idx="1">
                  <c:v>125</c:v>
                </c:pt>
                <c:pt idx="2">
                  <c:v>110</c:v>
                </c:pt>
                <c:pt idx="3">
                  <c:v>96</c:v>
                </c:pt>
                <c:pt idx="4">
                  <c:v>85</c:v>
                </c:pt>
                <c:pt idx="5">
                  <c:v>80</c:v>
                </c:pt>
                <c:pt idx="6">
                  <c:v>68</c:v>
                </c:pt>
                <c:pt idx="7">
                  <c:v>65</c:v>
                </c:pt>
                <c:pt idx="8">
                  <c:v>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56493006"/>
        <c:axId val="76929078"/>
      </c:scatterChart>
      <c:valAx>
        <c:axId val="5649300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色卡编号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76929078"/>
        <c:crosses val="autoZero"/>
        <c:crossBetween val="midCat"/>
      </c:valAx>
      <c:valAx>
        <c:axId val="7692907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ADC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56493006"/>
        <c:crosses val="autoZero"/>
        <c:crossBetween val="midCat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42caead-ed38-4830-a6ed-e9656bd142fb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975" b="1" u="none" strike="noStrike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</a:rPr>
              <a:t>环境光对灰度测量的影响</a:t>
            </a:r>
            <a:endParaRPr sz="975" b="1" u="none" strike="noStrike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"暗_3cm ADC"</c:f>
              <c:strCache>
                <c:ptCount val="1"/>
                <c:pt idx="0">
                  <c:v>暗_3cm ADC</c:v>
                </c:pt>
              </c:strCache>
            </c:strRef>
          </c:tx>
          <c:spPr>
            <a:ln w="1908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灰度传感器!$A$29:$A$37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灰度传感器!$B$29:$B$37</c:f>
              <c:numCache>
                <c:formatCode>0</c:formatCode>
                <c:ptCount val="9"/>
                <c:pt idx="0">
                  <c:v>1256</c:v>
                </c:pt>
                <c:pt idx="1">
                  <c:v>959</c:v>
                </c:pt>
                <c:pt idx="2">
                  <c:v>748</c:v>
                </c:pt>
                <c:pt idx="3">
                  <c:v>554</c:v>
                </c:pt>
                <c:pt idx="4">
                  <c:v>419</c:v>
                </c:pt>
                <c:pt idx="5">
                  <c:v>351</c:v>
                </c:pt>
                <c:pt idx="6">
                  <c:v>263</c:v>
                </c:pt>
                <c:pt idx="7">
                  <c:v>218</c:v>
                </c:pt>
                <c:pt idx="8">
                  <c:v>175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"亮_3cm ADC"</c:f>
              <c:strCache>
                <c:ptCount val="1"/>
                <c:pt idx="0">
                  <c:v>亮_3cm ADC</c:v>
                </c:pt>
              </c:strCache>
            </c:strRef>
          </c:tx>
          <c:spPr>
            <a:ln w="19080" cap="rnd">
              <a:solidFill>
                <a:srgbClr val="0F91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灰度传感器!$A$29:$A$37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灰度传感器!$C$29:$C$37</c:f>
              <c:numCache>
                <c:formatCode>0</c:formatCode>
                <c:ptCount val="9"/>
                <c:pt idx="0">
                  <c:v>1760</c:v>
                </c:pt>
                <c:pt idx="1">
                  <c:v>1347</c:v>
                </c:pt>
                <c:pt idx="2">
                  <c:v>1069</c:v>
                </c:pt>
                <c:pt idx="3">
                  <c:v>774</c:v>
                </c:pt>
                <c:pt idx="4">
                  <c:v>578</c:v>
                </c:pt>
                <c:pt idx="5">
                  <c:v>418</c:v>
                </c:pt>
                <c:pt idx="6">
                  <c:v>270</c:v>
                </c:pt>
                <c:pt idx="7">
                  <c:v>204</c:v>
                </c:pt>
                <c:pt idx="8">
                  <c:v>148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65434516"/>
        <c:axId val="91143159"/>
      </c:scatterChart>
      <c:valAx>
        <c:axId val="6543451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色卡编号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91143159"/>
        <c:crosses val="autoZero"/>
        <c:crossBetween val="midCat"/>
      </c:valAx>
      <c:valAx>
        <c:axId val="9114315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ADC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Arial" panose="020B0604020202020204"/>
                <a:ea typeface="Arial" panose="020B0604020202020204"/>
                <a:cs typeface="+mn-cs"/>
              </a:defRPr>
            </a:pPr>
          </a:p>
        </c:txPr>
        <c:crossAx val="65434516"/>
        <c:crosses val="autoZero"/>
        <c:crossBetween val="midCat"/>
      </c:valAx>
      <c:spPr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rgbClr val="000000"/>
              </a:solidFill>
              <a:uFillTx/>
              <a:latin typeface="Arial" panose="020B0604020202020204"/>
              <a:ea typeface="Arial" panose="020B0604020202020204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15267be-b6fe-43f9-82f6-aef6064d25d2}"/>
      </c:ext>
    </c:extLst>
  </c:chart>
  <c:spPr>
    <a:ln w="9360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10</xdr:col>
      <xdr:colOff>139320</xdr:colOff>
      <xdr:row>17</xdr:row>
      <xdr:rowOff>80280</xdr:rowOff>
    </xdr:to>
    <xdr:graphicFrame>
      <xdr:nvGraphicFramePr>
        <xdr:cNvPr id="2" name="Chart 1"/>
        <xdr:cNvGraphicFramePr/>
      </xdr:nvGraphicFramePr>
      <xdr:xfrm>
        <a:off x="6007100" y="1203325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10</xdr:col>
      <xdr:colOff>139320</xdr:colOff>
      <xdr:row>46</xdr:row>
      <xdr:rowOff>61200</xdr:rowOff>
    </xdr:to>
    <xdr:graphicFrame>
      <xdr:nvGraphicFramePr>
        <xdr:cNvPr id="3" name="Chart 2"/>
        <xdr:cNvGraphicFramePr/>
      </xdr:nvGraphicFramePr>
      <xdr:xfrm>
        <a:off x="6007100" y="5235575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9</xdr:col>
      <xdr:colOff>1187280</xdr:colOff>
      <xdr:row>19</xdr:row>
      <xdr:rowOff>61200</xdr:rowOff>
    </xdr:to>
    <xdr:graphicFrame>
      <xdr:nvGraphicFramePr>
        <xdr:cNvPr id="3" name="Chart 1"/>
        <xdr:cNvGraphicFramePr/>
      </xdr:nvGraphicFramePr>
      <xdr:xfrm>
        <a:off x="7054850" y="1228725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10</xdr:col>
      <xdr:colOff>907560</xdr:colOff>
      <xdr:row>40</xdr:row>
      <xdr:rowOff>61200</xdr:rowOff>
    </xdr:to>
    <xdr:graphicFrame>
      <xdr:nvGraphicFramePr>
        <xdr:cNvPr id="4" name="Chart 2"/>
        <xdr:cNvGraphicFramePr/>
      </xdr:nvGraphicFramePr>
      <xdr:xfrm>
        <a:off x="8032750" y="5029200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47</xdr:row>
      <xdr:rowOff>0</xdr:rowOff>
    </xdr:from>
    <xdr:to>
      <xdr:col>9</xdr:col>
      <xdr:colOff>1187280</xdr:colOff>
      <xdr:row>61</xdr:row>
      <xdr:rowOff>61200</xdr:rowOff>
    </xdr:to>
    <xdr:graphicFrame>
      <xdr:nvGraphicFramePr>
        <xdr:cNvPr id="5" name="Chart 3"/>
        <xdr:cNvGraphicFramePr/>
      </xdr:nvGraphicFramePr>
      <xdr:xfrm>
        <a:off x="7054850" y="8829675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68</xdr:row>
      <xdr:rowOff>0</xdr:rowOff>
    </xdr:from>
    <xdr:to>
      <xdr:col>16</xdr:col>
      <xdr:colOff>907560</xdr:colOff>
      <xdr:row>82</xdr:row>
      <xdr:rowOff>61200</xdr:rowOff>
    </xdr:to>
    <xdr:graphicFrame>
      <xdr:nvGraphicFramePr>
        <xdr:cNvPr id="6" name="Chart 4"/>
        <xdr:cNvGraphicFramePr/>
      </xdr:nvGraphicFramePr>
      <xdr:xfrm>
        <a:off x="15576550" y="12630150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9</xdr:col>
      <xdr:colOff>209160</xdr:colOff>
      <xdr:row>18</xdr:row>
      <xdr:rowOff>3960</xdr:rowOff>
    </xdr:to>
    <xdr:graphicFrame>
      <xdr:nvGraphicFramePr>
        <xdr:cNvPr id="7" name="Chart 1"/>
        <xdr:cNvGraphicFramePr/>
      </xdr:nvGraphicFramePr>
      <xdr:xfrm>
        <a:off x="6076950" y="1295400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9</xdr:col>
      <xdr:colOff>209160</xdr:colOff>
      <xdr:row>40</xdr:row>
      <xdr:rowOff>3960</xdr:rowOff>
    </xdr:to>
    <xdr:graphicFrame>
      <xdr:nvGraphicFramePr>
        <xdr:cNvPr id="8" name="Chart 2"/>
        <xdr:cNvGraphicFramePr/>
      </xdr:nvGraphicFramePr>
      <xdr:xfrm>
        <a:off x="6076950" y="5324475"/>
        <a:ext cx="467931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showGridLines="0" workbookViewId="0">
      <selection activeCell="G52" sqref="G52"/>
    </sheetView>
  </sheetViews>
  <sheetFormatPr defaultColWidth="8.68181818181818" defaultRowHeight="14" outlineLevelCol="5"/>
  <cols>
    <col min="1" max="1" width="12" customWidth="1"/>
    <col min="2" max="5" width="10" customWidth="1"/>
    <col min="6" max="6" width="16" customWidth="1"/>
    <col min="7" max="9" width="18" customWidth="1"/>
    <col min="10" max="10" width="29" customWidth="1"/>
    <col min="11" max="11" width="23" customWidth="1"/>
    <col min="12" max="25" width="18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15" customHeight="1" spans="1:6">
      <c r="A2" s="2"/>
      <c r="B2" s="2"/>
      <c r="C2" s="2"/>
      <c r="D2" s="2"/>
      <c r="E2" s="2"/>
      <c r="F2" s="2"/>
    </row>
    <row r="3" ht="24" customHeight="1" spans="1:6">
      <c r="A3" s="3" t="s">
        <v>1</v>
      </c>
      <c r="B3" s="3"/>
      <c r="C3" s="3"/>
      <c r="D3" s="3"/>
      <c r="E3" s="3"/>
      <c r="F3" s="3"/>
    </row>
    <row r="4" ht="25" customHeight="1" spans="1:6">
      <c r="A4" s="4"/>
      <c r="B4" s="4"/>
      <c r="C4" s="4"/>
      <c r="D4" s="4"/>
      <c r="E4" s="4"/>
      <c r="F4" s="4"/>
    </row>
    <row r="5" ht="6.75" customHeight="1" spans="1:6">
      <c r="A5" s="2"/>
      <c r="B5" s="2"/>
      <c r="C5" s="2"/>
      <c r="D5" s="2"/>
      <c r="E5" s="2"/>
      <c r="F5" s="2"/>
    </row>
    <row r="6" ht="30" customHeight="1" spans="1:6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</row>
    <row r="7" ht="18" customHeight="1" spans="1:6">
      <c r="A7" s="10" t="s">
        <v>8</v>
      </c>
      <c r="B7" s="6">
        <v>1</v>
      </c>
      <c r="C7" s="7">
        <v>36.1</v>
      </c>
      <c r="D7" s="7">
        <v>35.9</v>
      </c>
      <c r="E7" s="7">
        <f>光电传感器!D7-光电传感器!C7</f>
        <v>-0.200000000000003</v>
      </c>
      <c r="F7" s="7">
        <f>ABS(光电传感器!E7)</f>
        <v>0.200000000000003</v>
      </c>
    </row>
    <row r="8" ht="18" customHeight="1" spans="1:6">
      <c r="A8" s="10" t="s">
        <v>8</v>
      </c>
      <c r="B8" s="6">
        <v>2</v>
      </c>
      <c r="C8" s="7">
        <v>35.8</v>
      </c>
      <c r="D8" s="7">
        <v>35.7</v>
      </c>
      <c r="E8" s="7">
        <f>光电传感器!D8-光电传感器!C8</f>
        <v>-0.0999999999999943</v>
      </c>
      <c r="F8" s="7">
        <f>ABS(光电传感器!E8)</f>
        <v>0.0999999999999943</v>
      </c>
    </row>
    <row r="9" ht="18" customHeight="1" spans="1:6">
      <c r="A9" s="10" t="s">
        <v>8</v>
      </c>
      <c r="B9" s="6">
        <v>3</v>
      </c>
      <c r="C9" s="7">
        <v>36.3</v>
      </c>
      <c r="D9" s="7">
        <v>36</v>
      </c>
      <c r="E9" s="7">
        <f>光电传感器!D9-光电传感器!C9</f>
        <v>-0.299999999999997</v>
      </c>
      <c r="F9" s="7">
        <f>ABS(光电传感器!E9)</f>
        <v>0.299999999999997</v>
      </c>
    </row>
    <row r="10" ht="18" customHeight="1" spans="1:6">
      <c r="A10" s="10" t="s">
        <v>9</v>
      </c>
      <c r="B10" s="6">
        <v>1</v>
      </c>
      <c r="C10" s="7">
        <v>52.2</v>
      </c>
      <c r="D10" s="7">
        <v>51.5</v>
      </c>
      <c r="E10" s="7">
        <f>光电传感器!D10-光电传感器!C10</f>
        <v>-0.700000000000003</v>
      </c>
      <c r="F10" s="7">
        <f>ABS(光电传感器!E10)</f>
        <v>0.700000000000003</v>
      </c>
    </row>
    <row r="11" ht="18" customHeight="1" spans="1:6">
      <c r="A11" s="10" t="s">
        <v>9</v>
      </c>
      <c r="B11" s="6">
        <v>2</v>
      </c>
      <c r="C11" s="7">
        <v>51.5</v>
      </c>
      <c r="D11" s="7">
        <v>54</v>
      </c>
      <c r="E11" s="7">
        <f>光电传感器!D11-光电传感器!C11</f>
        <v>2.5</v>
      </c>
      <c r="F11" s="7">
        <f>ABS(光电传感器!E11)</f>
        <v>2.5</v>
      </c>
    </row>
    <row r="12" ht="18" customHeight="1" spans="1:6">
      <c r="A12" s="10" t="s">
        <v>9</v>
      </c>
      <c r="B12" s="6">
        <v>3</v>
      </c>
      <c r="C12" s="7">
        <v>53</v>
      </c>
      <c r="D12" s="7">
        <v>49.9</v>
      </c>
      <c r="E12" s="7">
        <f>光电传感器!D12-光电传感器!C12</f>
        <v>-3.1</v>
      </c>
      <c r="F12" s="7">
        <f>ABS(光电传感器!E12)</f>
        <v>3.1</v>
      </c>
    </row>
    <row r="13" ht="6.75" customHeight="1" spans="1:6">
      <c r="A13" s="2"/>
      <c r="B13" s="2"/>
      <c r="C13" s="2"/>
      <c r="D13" s="2"/>
      <c r="E13" s="2"/>
      <c r="F13" s="2"/>
    </row>
    <row r="14" ht="6.75" customHeight="1" spans="1:6">
      <c r="A14" s="2"/>
      <c r="B14" s="2"/>
      <c r="C14" s="2"/>
      <c r="D14" s="2"/>
      <c r="E14" s="2"/>
      <c r="F14" s="2"/>
    </row>
    <row r="15" ht="6.75" customHeight="1" spans="1:6">
      <c r="A15" s="2"/>
      <c r="B15" s="2"/>
      <c r="C15" s="2"/>
      <c r="D15" s="2"/>
      <c r="E15" s="2"/>
      <c r="F15" s="2"/>
    </row>
    <row r="16" ht="30" customHeight="1" spans="1:6">
      <c r="A16" s="5" t="s">
        <v>2</v>
      </c>
      <c r="B16" s="5" t="s">
        <v>10</v>
      </c>
      <c r="C16" s="5" t="s">
        <v>11</v>
      </c>
      <c r="D16" s="5" t="s">
        <v>12</v>
      </c>
      <c r="E16" s="5" t="s">
        <v>13</v>
      </c>
      <c r="F16" s="5" t="s">
        <v>14</v>
      </c>
    </row>
    <row r="17" ht="18" customHeight="1" spans="1:6">
      <c r="A17" s="10" t="s">
        <v>8</v>
      </c>
      <c r="B17" s="7">
        <f>AVERAGE(光电传感器!C7:C9)</f>
        <v>36.0666666666667</v>
      </c>
      <c r="C17" s="7">
        <f>STDEV(光电传感器!C7:C9)</f>
        <v>0.251661147842359</v>
      </c>
      <c r="D17" s="7">
        <f>AVERAGE(光电传感器!D7:D9)</f>
        <v>35.8666666666667</v>
      </c>
      <c r="E17" s="7">
        <f>STDEV(光电传感器!D7:D9)</f>
        <v>0.152752523165193</v>
      </c>
      <c r="F17" s="7">
        <f>AVERAGE(光电传感器!F7:F9)</f>
        <v>0.199999999999998</v>
      </c>
    </row>
    <row r="18" ht="18" customHeight="1" spans="1:6">
      <c r="A18" s="10" t="s">
        <v>9</v>
      </c>
      <c r="B18" s="7">
        <f>AVERAGE(光电传感器!C10:C12)</f>
        <v>52.2333333333333</v>
      </c>
      <c r="C18" s="7">
        <f>STDEV(光电传感器!C10:C12)</f>
        <v>0.750555349946513</v>
      </c>
      <c r="D18" s="7">
        <f>AVERAGE(光电传感器!D10:D12)</f>
        <v>51.8</v>
      </c>
      <c r="E18" s="7">
        <f>STDEV(光电传感器!D10:D12)</f>
        <v>2.06639783197718</v>
      </c>
      <c r="F18" s="7">
        <f>AVERAGE(光电传感器!F10:F12)</f>
        <v>2.1</v>
      </c>
    </row>
    <row r="19" ht="6.75" customHeight="1" spans="1:6">
      <c r="A19" s="2"/>
      <c r="B19" s="2"/>
      <c r="C19" s="2"/>
      <c r="D19" s="2"/>
      <c r="E19" s="2"/>
      <c r="F19" s="2"/>
    </row>
    <row r="20" ht="6.75" customHeight="1" spans="1:6">
      <c r="A20" s="2"/>
      <c r="B20" s="2"/>
      <c r="C20" s="2"/>
      <c r="D20" s="2"/>
      <c r="E20" s="2"/>
      <c r="F20" s="2"/>
    </row>
    <row r="21" ht="6.75" customHeight="1" spans="1:6">
      <c r="A21" s="2"/>
      <c r="B21" s="2"/>
      <c r="C21" s="2"/>
      <c r="D21" s="2"/>
      <c r="E21" s="2"/>
      <c r="F21" s="2"/>
    </row>
    <row r="22" ht="6.75" customHeight="1" spans="1:6">
      <c r="A22" s="2"/>
      <c r="B22" s="2"/>
      <c r="C22" s="2"/>
      <c r="D22" s="2"/>
      <c r="E22" s="2"/>
      <c r="F22" s="2"/>
    </row>
    <row r="23" ht="6.75" customHeight="1" spans="1:6">
      <c r="A23" s="2"/>
      <c r="B23" s="2"/>
      <c r="C23" s="2"/>
      <c r="D23" s="2"/>
      <c r="E23" s="2"/>
      <c r="F23" s="2"/>
    </row>
    <row r="24" ht="6.75" customHeight="1" spans="1:6">
      <c r="A24" s="2"/>
      <c r="B24" s="2"/>
      <c r="C24" s="2"/>
      <c r="D24" s="2"/>
      <c r="E24" s="2"/>
      <c r="F24" s="2"/>
    </row>
    <row r="25" ht="6.75" customHeight="1" spans="1:6">
      <c r="A25" s="2"/>
      <c r="B25" s="2"/>
      <c r="C25" s="2"/>
      <c r="D25" s="2"/>
      <c r="E25" s="2"/>
      <c r="F25" s="2"/>
    </row>
    <row r="26" ht="24" customHeight="1" spans="1:6">
      <c r="A26" s="3" t="s">
        <v>15</v>
      </c>
      <c r="B26" s="3"/>
      <c r="C26" s="3"/>
      <c r="D26" s="3"/>
      <c r="E26" s="3"/>
      <c r="F26" s="3"/>
    </row>
    <row r="27" ht="22" customHeight="1" spans="1:6">
      <c r="A27" s="2"/>
      <c r="B27" s="2"/>
      <c r="C27" s="2"/>
      <c r="D27" s="2"/>
      <c r="E27" s="2"/>
      <c r="F27" s="2"/>
    </row>
    <row r="28" ht="30" customHeight="1" spans="1:6">
      <c r="A28" s="5" t="s">
        <v>16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21</v>
      </c>
    </row>
    <row r="29" ht="18" customHeight="1" spans="1:6">
      <c r="A29" s="6">
        <v>15</v>
      </c>
      <c r="B29" s="7">
        <v>33.3</v>
      </c>
      <c r="C29" s="7">
        <v>33.8</v>
      </c>
      <c r="D29" s="7">
        <v>33.9</v>
      </c>
      <c r="E29" s="7">
        <f>AVERAGE(光电传感器!B29:D29)</f>
        <v>33.6666666666667</v>
      </c>
      <c r="F29" s="7">
        <f>STDEV(光电传感器!B29:D29)</f>
        <v>0.321455025366432</v>
      </c>
    </row>
    <row r="30" ht="18" customHeight="1" spans="1:6">
      <c r="A30" s="6">
        <v>30</v>
      </c>
      <c r="B30" s="7">
        <v>30</v>
      </c>
      <c r="C30" s="7">
        <v>30</v>
      </c>
      <c r="D30" s="7">
        <v>30.1</v>
      </c>
      <c r="E30" s="7">
        <f>AVERAGE(光电传感器!B30:D30)</f>
        <v>30.0333333333333</v>
      </c>
      <c r="F30" s="7">
        <f>STDEV(光电传感器!B30:D30)</f>
        <v>0.0577350269189634</v>
      </c>
    </row>
    <row r="31" ht="18" customHeight="1" spans="1:6">
      <c r="A31" s="6">
        <v>45</v>
      </c>
      <c r="B31" s="7">
        <v>27.7</v>
      </c>
      <c r="C31" s="7">
        <v>27.8</v>
      </c>
      <c r="D31" s="7">
        <v>27.4</v>
      </c>
      <c r="E31" s="7">
        <f>AVERAGE(光电传感器!B31:D31)</f>
        <v>27.6333333333333</v>
      </c>
      <c r="F31" s="7">
        <f>STDEV(光电传感器!B31:D31)</f>
        <v>0.208166599946614</v>
      </c>
    </row>
    <row r="32" ht="18" customHeight="1" spans="1:6">
      <c r="A32" s="6">
        <v>60</v>
      </c>
      <c r="B32" s="7">
        <v>23.9</v>
      </c>
      <c r="C32" s="7">
        <v>24.4</v>
      </c>
      <c r="D32" s="7">
        <v>24.4</v>
      </c>
      <c r="E32" s="7">
        <f>AVERAGE(光电传感器!B32:D32)</f>
        <v>24.2333333333333</v>
      </c>
      <c r="F32" s="7">
        <f>STDEV(光电传感器!B32:D32)</f>
        <v>0.288675134594813</v>
      </c>
    </row>
    <row r="33" ht="6.75" customHeight="1" spans="1:6">
      <c r="A33" s="2"/>
      <c r="B33" s="2"/>
      <c r="C33" s="2"/>
      <c r="D33" s="2"/>
      <c r="E33" s="2"/>
      <c r="F33" s="2"/>
    </row>
    <row r="34" ht="6.75" customHeight="1" spans="1:6">
      <c r="A34" s="2"/>
      <c r="B34" s="2"/>
      <c r="C34" s="2"/>
      <c r="D34" s="2"/>
      <c r="E34" s="2"/>
      <c r="F34" s="2"/>
    </row>
    <row r="35" ht="6.75" customHeight="1" spans="1:6">
      <c r="A35" s="2"/>
      <c r="B35" s="2"/>
      <c r="C35" s="2"/>
      <c r="D35" s="2"/>
      <c r="E35" s="2"/>
      <c r="F35" s="2"/>
    </row>
    <row r="36" ht="6.75" customHeight="1" spans="1:6">
      <c r="A36" s="2"/>
      <c r="B36" s="2"/>
      <c r="C36" s="2"/>
      <c r="D36" s="2"/>
      <c r="E36" s="2"/>
      <c r="F36" s="2"/>
    </row>
    <row r="37" ht="6.75" customHeight="1" spans="1:6">
      <c r="A37" s="2"/>
      <c r="B37" s="2"/>
      <c r="C37" s="2"/>
      <c r="D37" s="2"/>
      <c r="E37" s="2"/>
      <c r="F37" s="2"/>
    </row>
    <row r="38" ht="6.75" customHeight="1" spans="1:6">
      <c r="A38" s="2"/>
      <c r="B38" s="2"/>
      <c r="C38" s="2"/>
      <c r="D38" s="2"/>
      <c r="E38" s="2"/>
      <c r="F38" s="2"/>
    </row>
    <row r="39" ht="6.75" customHeight="1" spans="1:6">
      <c r="A39" s="2"/>
      <c r="B39" s="2"/>
      <c r="C39" s="2"/>
      <c r="D39" s="2"/>
      <c r="E39" s="2"/>
      <c r="F39" s="2"/>
    </row>
    <row r="40" ht="6.75" customHeight="1" spans="1:6">
      <c r="A40" s="2"/>
      <c r="B40" s="2"/>
      <c r="C40" s="2"/>
      <c r="D40" s="2"/>
      <c r="E40" s="2"/>
      <c r="F40" s="2"/>
    </row>
    <row r="41" ht="6.75" customHeight="1" spans="1:6">
      <c r="A41" s="2"/>
      <c r="B41" s="2"/>
      <c r="C41" s="2"/>
      <c r="D41" s="2"/>
      <c r="E41" s="2"/>
      <c r="F41" s="2"/>
    </row>
    <row r="42" ht="6.75" customHeight="1" spans="1:6">
      <c r="A42" s="2"/>
      <c r="B42" s="2"/>
      <c r="C42" s="2"/>
      <c r="D42" s="2"/>
      <c r="E42" s="2"/>
      <c r="F42" s="2"/>
    </row>
    <row r="43" ht="6.75" customHeight="1" spans="1:6">
      <c r="A43" s="2"/>
      <c r="B43" s="2"/>
      <c r="C43" s="2"/>
      <c r="D43" s="2"/>
      <c r="E43" s="2"/>
      <c r="F43" s="2"/>
    </row>
    <row r="44" ht="6.75" customHeight="1" spans="1:6">
      <c r="A44" s="2"/>
      <c r="B44" s="2"/>
      <c r="C44" s="2"/>
      <c r="D44" s="2"/>
      <c r="E44" s="2"/>
      <c r="F44" s="2"/>
    </row>
    <row r="45" ht="6.75" customHeight="1" spans="1:6">
      <c r="A45" s="2"/>
      <c r="B45" s="2"/>
      <c r="C45" s="2"/>
      <c r="D45" s="2"/>
      <c r="E45" s="2"/>
      <c r="F45" s="2"/>
    </row>
    <row r="46" ht="18" customHeight="1" spans="1:6">
      <c r="A46" s="4"/>
      <c r="B46" s="4"/>
      <c r="C46" s="4"/>
      <c r="D46" s="4"/>
      <c r="E46" s="4"/>
      <c r="F46" s="4"/>
    </row>
    <row r="47" ht="18" customHeight="1" spans="1:6">
      <c r="A47" s="4"/>
      <c r="B47" s="4"/>
      <c r="C47" s="4"/>
      <c r="D47" s="4"/>
      <c r="E47" s="4"/>
      <c r="F47" s="4"/>
    </row>
    <row r="48" ht="18" customHeight="1" spans="1:6">
      <c r="A48" s="4"/>
      <c r="B48" s="4"/>
      <c r="C48" s="4"/>
      <c r="D48" s="4"/>
      <c r="E48" s="4"/>
      <c r="F48" s="4"/>
    </row>
  </sheetData>
  <mergeCells count="5">
    <mergeCell ref="A1:F1"/>
    <mergeCell ref="A3:F3"/>
    <mergeCell ref="A4:F4"/>
    <mergeCell ref="A26:F26"/>
    <mergeCell ref="A46:F48"/>
  </mergeCell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showGridLines="0" topLeftCell="A53" workbookViewId="0">
      <selection activeCell="D106" sqref="D106"/>
    </sheetView>
  </sheetViews>
  <sheetFormatPr defaultColWidth="8.68181818181818" defaultRowHeight="14"/>
  <cols>
    <col min="1" max="1" width="11" customWidth="1"/>
    <col min="2" max="6" width="18" customWidth="1"/>
    <col min="7" max="7" width="14" customWidth="1"/>
    <col min="8" max="10" width="18" customWidth="1"/>
    <col min="11" max="11" width="22" customWidth="1"/>
    <col min="12" max="12" width="14" customWidth="1"/>
    <col min="13" max="26" width="18" customWidth="1"/>
  </cols>
  <sheetData>
    <row r="1" ht="25.5" customHeight="1" spans="1:12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6.75" customHeight="1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23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</row>
    <row r="4" ht="33.75" customHeight="1" spans="1:12">
      <c r="A4" s="4" t="s">
        <v>24</v>
      </c>
      <c r="B4" s="4"/>
      <c r="C4" s="4"/>
      <c r="D4" s="4"/>
      <c r="E4" s="4"/>
      <c r="F4" s="2"/>
      <c r="G4" s="2"/>
      <c r="H4" s="2"/>
      <c r="I4" s="2"/>
      <c r="J4" s="2"/>
      <c r="K4" s="2"/>
      <c r="L4" s="2"/>
    </row>
    <row r="5" ht="6.75" customHeight="1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30" customHeight="1" spans="1:12">
      <c r="A6" s="5" t="s">
        <v>25</v>
      </c>
      <c r="B6" s="5" t="s">
        <v>26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ht="18" customHeight="1" spans="1:12">
      <c r="A7" s="6">
        <v>10</v>
      </c>
      <c r="B7" s="7">
        <v>2593.3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ht="18" customHeight="1" spans="1:12">
      <c r="A8" s="6">
        <v>20</v>
      </c>
      <c r="B8" s="7">
        <v>1323.5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ht="18" customHeight="1" spans="1:12">
      <c r="A9" s="6">
        <v>30</v>
      </c>
      <c r="B9" s="7">
        <v>859.45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ht="18" customHeight="1" spans="1:12">
      <c r="A10" s="6">
        <v>40</v>
      </c>
      <c r="B10" s="7">
        <v>628.25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8" customHeight="1" spans="1:12">
      <c r="A11" s="6">
        <v>50</v>
      </c>
      <c r="B11" s="7">
        <v>489.5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8" customHeight="1" spans="1:12">
      <c r="A12" s="6">
        <v>60</v>
      </c>
      <c r="B12" s="7">
        <v>400.5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8" customHeight="1" spans="1:12">
      <c r="A13" s="6">
        <v>70</v>
      </c>
      <c r="B13" s="7">
        <v>325.2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8" customHeight="1" spans="1:12">
      <c r="A14" s="6">
        <v>80</v>
      </c>
      <c r="B14" s="7">
        <v>276.8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6.75" customHeight="1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6.75" customHeight="1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6.75" customHeight="1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6.75" customHeight="1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6.75" customHeight="1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6.75" customHeight="1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6.75" customHeight="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6.75" customHeight="1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6.75" customHeight="1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24" customHeight="1" spans="1:12">
      <c r="A24" s="3" t="s">
        <v>27</v>
      </c>
      <c r="B24" s="3"/>
      <c r="C24" s="3"/>
      <c r="D24" s="3"/>
      <c r="E24" s="3"/>
      <c r="F24" s="3"/>
      <c r="G24" s="2"/>
      <c r="H24" s="2"/>
      <c r="I24" s="2"/>
      <c r="J24" s="2"/>
      <c r="K24" s="2"/>
      <c r="L24" s="2"/>
    </row>
    <row r="25" ht="33.75" customHeight="1" spans="1:12">
      <c r="A25" s="4"/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</row>
    <row r="26" ht="6.75" customHeight="1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30" customHeight="1" spans="1:12">
      <c r="A27" s="5" t="s">
        <v>25</v>
      </c>
      <c r="B27" s="5" t="s">
        <v>28</v>
      </c>
      <c r="C27" s="5" t="s">
        <v>29</v>
      </c>
      <c r="D27" s="5" t="s">
        <v>30</v>
      </c>
      <c r="E27" s="5" t="s">
        <v>31</v>
      </c>
      <c r="F27" s="5" t="s">
        <v>32</v>
      </c>
      <c r="G27" s="2"/>
      <c r="H27" s="2"/>
      <c r="I27" s="2"/>
      <c r="J27" s="2"/>
      <c r="K27" s="2"/>
      <c r="L27" s="2"/>
    </row>
    <row r="28" ht="18" customHeight="1" spans="1:12">
      <c r="A28" s="6">
        <f>距离传感器!A7</f>
        <v>10</v>
      </c>
      <c r="B28" s="7">
        <f>距离传感器!B7</f>
        <v>2593.3</v>
      </c>
      <c r="C28" s="7">
        <v>2589.85</v>
      </c>
      <c r="D28" s="7">
        <v>2601.2</v>
      </c>
      <c r="E28" s="7">
        <f>距离传感器!D28-距离传感器!C28</f>
        <v>11.3499999999999</v>
      </c>
      <c r="F28" s="8">
        <f>IFERROR(距离传感器!E28/距离传感器!C28,"")</f>
        <v>0.00438249319458652</v>
      </c>
      <c r="G28" s="2"/>
      <c r="H28" s="2"/>
      <c r="I28" s="2"/>
      <c r="J28" s="2"/>
      <c r="K28" s="2"/>
      <c r="L28" s="2"/>
    </row>
    <row r="29" ht="18" customHeight="1" spans="1:12">
      <c r="A29" s="6">
        <f>距离传感器!A8</f>
        <v>20</v>
      </c>
      <c r="B29" s="7">
        <f>距离传感器!B8</f>
        <v>1323.5</v>
      </c>
      <c r="C29" s="7">
        <v>1325.4</v>
      </c>
      <c r="D29" s="7">
        <v>1288.45</v>
      </c>
      <c r="E29" s="7">
        <f>距离传感器!D29-距离传感器!C29</f>
        <v>-36.95</v>
      </c>
      <c r="F29" s="8">
        <f>IFERROR(距离传感器!E29/距离传感器!C29,"")</f>
        <v>-0.0278783763392184</v>
      </c>
      <c r="G29" s="2"/>
      <c r="H29" s="2"/>
      <c r="I29" s="2"/>
      <c r="J29" s="2"/>
      <c r="K29" s="2"/>
      <c r="L29" s="2"/>
    </row>
    <row r="30" ht="18" customHeight="1" spans="1:12">
      <c r="A30" s="6">
        <f>距离传感器!A9</f>
        <v>30</v>
      </c>
      <c r="B30" s="7">
        <f>距离传感器!B9</f>
        <v>859.45</v>
      </c>
      <c r="C30" s="7">
        <v>881.7</v>
      </c>
      <c r="D30" s="7">
        <v>869.95</v>
      </c>
      <c r="E30" s="7">
        <f>距离传感器!D30-距离传感器!C30</f>
        <v>-11.75</v>
      </c>
      <c r="F30" s="8">
        <f>IFERROR(距离传感器!E30/距离传感器!C30,"")</f>
        <v>-0.0133265282976069</v>
      </c>
      <c r="G30" s="2"/>
      <c r="H30" s="2"/>
      <c r="I30" s="2"/>
      <c r="J30" s="2"/>
      <c r="K30" s="2"/>
      <c r="L30" s="2"/>
    </row>
    <row r="31" ht="18" customHeight="1" spans="1:12">
      <c r="A31" s="6">
        <f>距离传感器!A10</f>
        <v>40</v>
      </c>
      <c r="B31" s="7">
        <f>距离传感器!B10</f>
        <v>628.25</v>
      </c>
      <c r="C31" s="7">
        <v>640.35</v>
      </c>
      <c r="D31" s="7">
        <v>627.55</v>
      </c>
      <c r="E31" s="7">
        <f>距离传感器!D31-距离传感器!C31</f>
        <v>-12.8000000000001</v>
      </c>
      <c r="F31" s="8">
        <f>IFERROR(距离传感器!E31/距离传感器!C31,"")</f>
        <v>-0.0199890684781761</v>
      </c>
      <c r="G31" s="2"/>
      <c r="H31" s="2"/>
      <c r="I31" s="2"/>
      <c r="J31" s="2"/>
      <c r="K31" s="2"/>
      <c r="L31" s="2"/>
    </row>
    <row r="32" ht="18" customHeight="1" spans="1:12">
      <c r="A32" s="6">
        <f>距离传感器!A11</f>
        <v>50</v>
      </c>
      <c r="B32" s="7">
        <f>距离传感器!B11</f>
        <v>489.5</v>
      </c>
      <c r="C32" s="7">
        <v>521.85</v>
      </c>
      <c r="D32" s="7">
        <v>493.3</v>
      </c>
      <c r="E32" s="7">
        <f>距离传感器!D32-距离传感器!C32</f>
        <v>-28.55</v>
      </c>
      <c r="F32" s="8">
        <f>IFERROR(距离传感器!E32/距离传感器!C32,"")</f>
        <v>-0.0547092076267127</v>
      </c>
      <c r="G32" s="2"/>
      <c r="H32" s="2"/>
      <c r="I32" s="2"/>
      <c r="J32" s="2"/>
      <c r="K32" s="2"/>
      <c r="L32" s="2"/>
    </row>
    <row r="33" ht="18" customHeight="1" spans="1:12">
      <c r="A33" s="6">
        <f>距离传感器!A12</f>
        <v>60</v>
      </c>
      <c r="B33" s="7">
        <f>距离传感器!B12</f>
        <v>400.5</v>
      </c>
      <c r="C33" s="7">
        <v>404.45</v>
      </c>
      <c r="D33" s="7">
        <v>393.55</v>
      </c>
      <c r="E33" s="7">
        <f>距离传感器!D33-距离传感器!C33</f>
        <v>-10.9</v>
      </c>
      <c r="F33" s="8">
        <f>IFERROR(距离传感器!E33/距离传感器!C33,"")</f>
        <v>-0.0269501792557794</v>
      </c>
      <c r="G33" s="2"/>
      <c r="H33" s="2"/>
      <c r="I33" s="2"/>
      <c r="J33" s="2"/>
      <c r="K33" s="2"/>
      <c r="L33" s="2"/>
    </row>
    <row r="34" ht="18" customHeight="1" spans="1:12">
      <c r="A34" s="6">
        <f>距离传感器!A13</f>
        <v>70</v>
      </c>
      <c r="B34" s="7">
        <f>距离传感器!B13</f>
        <v>325.2</v>
      </c>
      <c r="C34" s="7">
        <v>318.5</v>
      </c>
      <c r="D34" s="7">
        <v>306.3</v>
      </c>
      <c r="E34" s="7">
        <f>距离传感器!D34-距离传感器!C34</f>
        <v>-12.2</v>
      </c>
      <c r="F34" s="8">
        <f>IFERROR(距离传感器!E34/距离传感器!C34,"")</f>
        <v>-0.0383045525902668</v>
      </c>
      <c r="G34" s="2"/>
      <c r="H34" s="2"/>
      <c r="I34" s="2"/>
      <c r="J34" s="2"/>
      <c r="K34" s="2"/>
      <c r="L34" s="2"/>
    </row>
    <row r="35" ht="18" customHeight="1" spans="1:12">
      <c r="A35" s="6">
        <f>距离传感器!A14</f>
        <v>80</v>
      </c>
      <c r="B35" s="7">
        <f>距离传感器!B14</f>
        <v>276.8</v>
      </c>
      <c r="C35" s="7">
        <v>275</v>
      </c>
      <c r="D35" s="7">
        <v>247.5</v>
      </c>
      <c r="E35" s="7">
        <f>距离传感器!D35-距离传感器!C35</f>
        <v>-27.5</v>
      </c>
      <c r="F35" s="8">
        <f>IFERROR(距离传感器!E35/距离传感器!C35,"")</f>
        <v>-0.1</v>
      </c>
      <c r="G35" s="2"/>
      <c r="H35" s="2"/>
      <c r="I35" s="2"/>
      <c r="J35" s="2"/>
      <c r="K35" s="2"/>
      <c r="L35" s="2"/>
    </row>
    <row r="36" ht="6.75" customHeight="1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6.75" customHeight="1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6.75" customHeight="1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6.75" customHeight="1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6.75" customHeight="1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6.75" customHeight="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6.75" customHeight="1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6.75" customHeight="1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6.75" customHeight="1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24" customHeight="1" spans="1:12">
      <c r="A45" s="3" t="s">
        <v>33</v>
      </c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</row>
    <row r="46" ht="33.75" customHeight="1" spans="1:12">
      <c r="A46" s="4"/>
      <c r="B46" s="4"/>
      <c r="C46" s="4"/>
      <c r="D46" s="4"/>
      <c r="E46" s="4"/>
      <c r="F46" s="2"/>
      <c r="G46" s="2"/>
      <c r="H46" s="2"/>
      <c r="I46" s="2"/>
      <c r="J46" s="2"/>
      <c r="K46" s="2"/>
      <c r="L46" s="2"/>
    </row>
    <row r="47" ht="6.75" customHeight="1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30" customHeight="1" spans="1:12">
      <c r="A48" s="5" t="s">
        <v>25</v>
      </c>
      <c r="B48" s="5" t="s">
        <v>34</v>
      </c>
      <c r="C48" s="5" t="s">
        <v>35</v>
      </c>
      <c r="D48" s="5" t="s">
        <v>36</v>
      </c>
      <c r="E48" s="5" t="s">
        <v>37</v>
      </c>
      <c r="F48" s="2"/>
      <c r="G48" s="2"/>
      <c r="H48" s="2"/>
      <c r="I48" s="2"/>
      <c r="J48" s="2"/>
      <c r="K48" s="2"/>
      <c r="L48" s="2"/>
    </row>
    <row r="49" ht="18" customHeight="1" spans="1:12">
      <c r="A49" s="6">
        <f>距离传感器!A7</f>
        <v>10</v>
      </c>
      <c r="B49" s="7">
        <f>距离传感器!B7</f>
        <v>2593.3</v>
      </c>
      <c r="C49" s="7">
        <v>2595.8</v>
      </c>
      <c r="D49" s="7">
        <v>2585.95</v>
      </c>
      <c r="E49" s="7">
        <v>2423.8</v>
      </c>
      <c r="F49" s="2"/>
      <c r="G49" s="2"/>
      <c r="H49" s="2"/>
      <c r="I49" s="2"/>
      <c r="J49" s="2"/>
      <c r="K49" s="2"/>
      <c r="L49" s="2"/>
    </row>
    <row r="50" ht="18" customHeight="1" spans="1:12">
      <c r="A50" s="6">
        <f>距离传感器!A8</f>
        <v>20</v>
      </c>
      <c r="B50" s="7">
        <f>距离传感器!B8</f>
        <v>1323.5</v>
      </c>
      <c r="C50" s="7">
        <v>1296.95</v>
      </c>
      <c r="D50" s="7">
        <v>1235.6</v>
      </c>
      <c r="E50" s="7">
        <v>1197.2</v>
      </c>
      <c r="F50" s="2"/>
      <c r="G50" s="2"/>
      <c r="H50" s="2"/>
      <c r="I50" s="2"/>
      <c r="J50" s="2"/>
      <c r="K50" s="2"/>
      <c r="L50" s="2"/>
    </row>
    <row r="51" ht="18" customHeight="1" spans="1:12">
      <c r="A51" s="6">
        <f>距离传感器!A9</f>
        <v>30</v>
      </c>
      <c r="B51" s="7">
        <f>距离传感器!B9</f>
        <v>859.45</v>
      </c>
      <c r="C51" s="7">
        <v>847.25</v>
      </c>
      <c r="D51" s="7">
        <v>820.7</v>
      </c>
      <c r="E51" s="7">
        <v>815.15</v>
      </c>
      <c r="F51" s="2"/>
      <c r="G51" s="2"/>
      <c r="H51" s="2"/>
      <c r="I51" s="2"/>
      <c r="J51" s="2"/>
      <c r="K51" s="2"/>
      <c r="L51" s="2"/>
    </row>
    <row r="52" ht="18" customHeight="1" spans="1:12">
      <c r="A52" s="6">
        <f>距离传感器!A10</f>
        <v>40</v>
      </c>
      <c r="B52" s="7">
        <f>距离传感器!B10</f>
        <v>628.25</v>
      </c>
      <c r="C52" s="7">
        <v>624.4</v>
      </c>
      <c r="D52" s="7">
        <v>597.95</v>
      </c>
      <c r="E52" s="7">
        <v>591.05</v>
      </c>
      <c r="F52" s="2"/>
      <c r="G52" s="2"/>
      <c r="H52" s="2"/>
      <c r="I52" s="2"/>
      <c r="J52" s="2"/>
      <c r="K52" s="2"/>
      <c r="L52" s="2"/>
    </row>
    <row r="53" ht="18" customHeight="1" spans="1:12">
      <c r="A53" s="6">
        <f>距离传感器!A11</f>
        <v>50</v>
      </c>
      <c r="B53" s="7">
        <f>距离传感器!B11</f>
        <v>489.5</v>
      </c>
      <c r="C53" s="7">
        <v>515.15</v>
      </c>
      <c r="D53" s="7">
        <v>464.8</v>
      </c>
      <c r="E53" s="7">
        <v>464.65</v>
      </c>
      <c r="F53" s="2"/>
      <c r="G53" s="2"/>
      <c r="H53" s="2"/>
      <c r="I53" s="2"/>
      <c r="J53" s="2"/>
      <c r="K53" s="2"/>
      <c r="L53" s="2"/>
    </row>
    <row r="54" ht="18" customHeight="1" spans="1:12">
      <c r="A54" s="6">
        <f>距离传感器!A12</f>
        <v>60</v>
      </c>
      <c r="B54" s="7">
        <f>距离传感器!B12</f>
        <v>400.5</v>
      </c>
      <c r="C54" s="7">
        <v>410.3</v>
      </c>
      <c r="D54" s="7">
        <v>393.85</v>
      </c>
      <c r="E54" s="7">
        <v>355.9</v>
      </c>
      <c r="F54" s="2"/>
      <c r="G54" s="2"/>
      <c r="H54" s="2"/>
      <c r="I54" s="2"/>
      <c r="J54" s="2"/>
      <c r="K54" s="2"/>
      <c r="L54" s="2"/>
    </row>
    <row r="55" ht="18" customHeight="1" spans="1:12">
      <c r="A55" s="6">
        <f>距离传感器!A13</f>
        <v>70</v>
      </c>
      <c r="B55" s="7">
        <f>距离传感器!B13</f>
        <v>325.2</v>
      </c>
      <c r="C55" s="7">
        <v>317.8</v>
      </c>
      <c r="D55" s="7">
        <v>302.25</v>
      </c>
      <c r="E55" s="7">
        <v>302.15</v>
      </c>
      <c r="F55" s="2"/>
      <c r="G55" s="2"/>
      <c r="H55" s="2"/>
      <c r="I55" s="2"/>
      <c r="J55" s="2"/>
      <c r="K55" s="2"/>
      <c r="L55" s="2"/>
    </row>
    <row r="56" ht="18" customHeight="1" spans="1:12">
      <c r="A56" s="6">
        <f>距离传感器!A14</f>
        <v>80</v>
      </c>
      <c r="B56" s="7">
        <f>距离传感器!B14</f>
        <v>276.8</v>
      </c>
      <c r="C56" s="7">
        <v>260.85</v>
      </c>
      <c r="D56" s="7">
        <v>283.1</v>
      </c>
      <c r="E56" s="7">
        <v>264.25</v>
      </c>
      <c r="F56" s="2"/>
      <c r="G56" s="2"/>
      <c r="H56" s="2"/>
      <c r="I56" s="2"/>
      <c r="J56" s="2"/>
      <c r="K56" s="2"/>
      <c r="L56" s="2"/>
    </row>
    <row r="57" ht="6.75" customHeight="1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6.75" customHeight="1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6.75" customHeight="1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6.75" customHeight="1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6.75" customHeight="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6.75" customHeight="1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6.75" customHeight="1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6.75" customHeight="1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6.75" customHeight="1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24" customHeight="1" spans="1:12">
      <c r="A66" s="3" t="s">
        <v>38</v>
      </c>
      <c r="B66" s="3"/>
      <c r="C66" s="3"/>
      <c r="D66" s="3"/>
      <c r="E66" s="3"/>
      <c r="F66" s="3"/>
      <c r="G66" s="3"/>
      <c r="H66" s="2"/>
      <c r="I66" s="2"/>
      <c r="J66" s="2"/>
      <c r="K66" s="2"/>
      <c r="L66" s="2"/>
    </row>
    <row r="67" ht="33.75" customHeight="1" spans="1:12">
      <c r="A67" s="4" t="s">
        <v>39</v>
      </c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</row>
    <row r="68" ht="6.75" customHeight="1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30" customHeight="1" spans="1:12">
      <c r="A69" s="5" t="s">
        <v>40</v>
      </c>
      <c r="B69" s="5" t="s">
        <v>41</v>
      </c>
      <c r="C69" s="5" t="s">
        <v>42</v>
      </c>
      <c r="D69" s="5" t="s">
        <v>43</v>
      </c>
      <c r="E69" s="5" t="s">
        <v>44</v>
      </c>
      <c r="F69" s="5" t="s">
        <v>45</v>
      </c>
      <c r="G69" s="5" t="s">
        <v>46</v>
      </c>
      <c r="H69" s="2"/>
      <c r="I69" s="2"/>
      <c r="J69" s="2"/>
      <c r="K69" s="5" t="s">
        <v>47</v>
      </c>
      <c r="L69" s="5" t="s">
        <v>48</v>
      </c>
    </row>
    <row r="70" ht="18" customHeight="1" spans="1:12">
      <c r="A70" s="6">
        <f>距离传感器!A7</f>
        <v>10</v>
      </c>
      <c r="B70" s="7">
        <f>距离传感器!B7</f>
        <v>2593.3</v>
      </c>
      <c r="C70" s="9">
        <f>1/距离传感器!B70</f>
        <v>0.000385609069525315</v>
      </c>
      <c r="D70" s="7">
        <f>距离传感器!$L$70*距离传感器!C70+距离传感器!$L$71</f>
        <v>12.4454101547669</v>
      </c>
      <c r="E70" s="7">
        <f>距离传感器!D70-距离传感器!A70</f>
        <v>2.4454101547669</v>
      </c>
      <c r="F70" s="7">
        <f>ABS(距离传感器!E70)</f>
        <v>2.4454101547669</v>
      </c>
      <c r="G70" s="7">
        <f>距离传感器!E70^2</f>
        <v>5.98003082503706</v>
      </c>
      <c r="H70" s="2"/>
      <c r="I70" s="2"/>
      <c r="J70" s="2"/>
      <c r="K70" s="10" t="s">
        <v>49</v>
      </c>
      <c r="L70" s="7">
        <f>SLOPE(距离传感器!A70:A77,距离传感器!C70:C77)</f>
        <v>21632.5844477726</v>
      </c>
    </row>
    <row r="71" ht="18" customHeight="1" spans="1:12">
      <c r="A71" s="6">
        <f>距离传感器!A8</f>
        <v>20</v>
      </c>
      <c r="B71" s="7">
        <f>距离传感器!B8</f>
        <v>1323.5</v>
      </c>
      <c r="C71" s="9">
        <f>1/距离传感器!B71</f>
        <v>0.000755572346052134</v>
      </c>
      <c r="D71" s="7">
        <f>距离传感器!$L$70*距离传感器!C71+距离传感器!$L$71</f>
        <v>20.448671976808</v>
      </c>
      <c r="E71" s="7">
        <f>距离传感器!D71-距离传感器!A71</f>
        <v>0.448671976807958</v>
      </c>
      <c r="F71" s="7">
        <f>ABS(距离传感器!E71)</f>
        <v>0.448671976807958</v>
      </c>
      <c r="G71" s="7">
        <f>距离传感器!E71^2</f>
        <v>0.201306542772761</v>
      </c>
      <c r="H71" s="2"/>
      <c r="I71" s="2"/>
      <c r="J71" s="2"/>
      <c r="K71" s="10" t="s">
        <v>50</v>
      </c>
      <c r="L71" s="7">
        <f>INTERCEPT(距离传感器!A70:A77,距离传感器!C70:C77)</f>
        <v>4.1036893944335</v>
      </c>
    </row>
    <row r="72" ht="18" customHeight="1" spans="1:12">
      <c r="A72" s="6">
        <f>距离传感器!A9</f>
        <v>30</v>
      </c>
      <c r="B72" s="7">
        <f>距离传感器!B9</f>
        <v>859.45</v>
      </c>
      <c r="C72" s="9">
        <f>1/距离传感器!B72</f>
        <v>0.00116353481877945</v>
      </c>
      <c r="D72" s="7">
        <f>距离传感器!$L$70*距离传感器!C72+距离传感器!$L$71</f>
        <v>29.2739546196038</v>
      </c>
      <c r="E72" s="7">
        <f>距离传感器!D72-距离传感器!A72</f>
        <v>-0.726045380396222</v>
      </c>
      <c r="F72" s="7">
        <f>ABS(距离传感器!E72)</f>
        <v>0.726045380396222</v>
      </c>
      <c r="G72" s="7">
        <f>距离传感器!E72^2</f>
        <v>0.527141894394695</v>
      </c>
      <c r="H72" s="2"/>
      <c r="I72" s="2"/>
      <c r="J72" s="2"/>
      <c r="K72" s="10" t="s">
        <v>51</v>
      </c>
      <c r="L72" s="7">
        <f>SQRT(AVERAGE(距离传感器!G70:G77))</f>
        <v>1.61141709965244</v>
      </c>
    </row>
    <row r="73" ht="18" customHeight="1" spans="1:12">
      <c r="A73" s="6">
        <f>距离传感器!A10</f>
        <v>40</v>
      </c>
      <c r="B73" s="7">
        <f>距离传感器!B10</f>
        <v>628.25</v>
      </c>
      <c r="C73" s="9">
        <f>1/距离传感器!B73</f>
        <v>0.00159172304019101</v>
      </c>
      <c r="D73" s="7">
        <f>距离传感器!$L$70*距离传感器!C73+距离传感器!$L$71</f>
        <v>38.5367724788308</v>
      </c>
      <c r="E73" s="7">
        <f>距离传感器!D73-距离传感器!A73</f>
        <v>-1.46322752116921</v>
      </c>
      <c r="F73" s="7">
        <f>ABS(距离传感器!E73)</f>
        <v>1.46322752116921</v>
      </c>
      <c r="G73" s="7">
        <f>距离传感器!E73^2</f>
        <v>2.14103477870699</v>
      </c>
      <c r="H73" s="2"/>
      <c r="I73" s="2"/>
      <c r="J73" s="2"/>
      <c r="K73" s="10" t="s">
        <v>52</v>
      </c>
      <c r="L73" s="7">
        <f>MAX(距离传感器!F70:F77)</f>
        <v>2.4454101547669</v>
      </c>
    </row>
    <row r="74" ht="18" customHeight="1" spans="1:12">
      <c r="A74" s="6">
        <f>距离传感器!A11</f>
        <v>50</v>
      </c>
      <c r="B74" s="7">
        <f>距离传感器!B11</f>
        <v>489.5</v>
      </c>
      <c r="C74" s="9">
        <f>1/距离传感器!B74</f>
        <v>0.00204290091930541</v>
      </c>
      <c r="D74" s="7">
        <f>距离传感器!$L$70*距离传感器!C74+距离传感器!$L$71</f>
        <v>48.2969160497401</v>
      </c>
      <c r="E74" s="7">
        <f>距离传感器!D74-距离传感器!A74</f>
        <v>-1.70308395025987</v>
      </c>
      <c r="F74" s="7">
        <f>ABS(距离传感器!E74)</f>
        <v>1.70308395025987</v>
      </c>
      <c r="G74" s="7">
        <f>距离传感器!E74^2</f>
        <v>2.90049494163275</v>
      </c>
      <c r="H74" s="2"/>
      <c r="I74" s="2"/>
      <c r="J74" s="2"/>
      <c r="K74" s="10" t="s">
        <v>53</v>
      </c>
      <c r="L74" s="7">
        <f>COUNT(距离传感器!A70:A77)</f>
        <v>8</v>
      </c>
    </row>
    <row r="75" ht="18" customHeight="1" spans="1:12">
      <c r="A75" s="6">
        <f>距离传感器!A12</f>
        <v>60</v>
      </c>
      <c r="B75" s="7">
        <f>距离传感器!B12</f>
        <v>400.5</v>
      </c>
      <c r="C75" s="9">
        <f>1/距离传感器!B75</f>
        <v>0.00249687890137328</v>
      </c>
      <c r="D75" s="7">
        <f>距离传感器!$L$70*距离传感器!C75+距离传感器!$L$71</f>
        <v>58.1176330842527</v>
      </c>
      <c r="E75" s="7">
        <f>距离传感器!D75-距离传感器!A75</f>
        <v>-1.88236691574728</v>
      </c>
      <c r="F75" s="7">
        <f>ABS(距离传感器!E75)</f>
        <v>1.88236691574728</v>
      </c>
      <c r="G75" s="7">
        <f>距离传感器!E75^2</f>
        <v>3.54330520549994</v>
      </c>
      <c r="H75" s="2"/>
      <c r="I75" s="2"/>
      <c r="J75" s="2"/>
      <c r="K75" s="10" t="s">
        <v>54</v>
      </c>
      <c r="L75" s="7">
        <f>MIN(距离传感器!B70:B77)</f>
        <v>276.8</v>
      </c>
    </row>
    <row r="76" ht="18" customHeight="1" spans="1:12">
      <c r="A76" s="6">
        <f>距离传感器!A13</f>
        <v>70</v>
      </c>
      <c r="B76" s="7">
        <f>距离传感器!B13</f>
        <v>325.2</v>
      </c>
      <c r="C76" s="9">
        <f>1/距离传感器!B76</f>
        <v>0.0030750307503075</v>
      </c>
      <c r="D76" s="7">
        <f>距离传感器!$L$70*距离传感器!C76+距离传感器!$L$71</f>
        <v>70.6245517799581</v>
      </c>
      <c r="E76" s="7">
        <f>距离传感器!D76-距离传感器!A76</f>
        <v>0.624551779958082</v>
      </c>
      <c r="F76" s="7">
        <f>ABS(距离传感器!E76)</f>
        <v>0.624551779958082</v>
      </c>
      <c r="G76" s="7">
        <f>距离传感器!E76^2</f>
        <v>0.390064925848809</v>
      </c>
      <c r="H76" s="2"/>
      <c r="I76" s="2"/>
      <c r="J76" s="2"/>
      <c r="K76" s="10" t="s">
        <v>55</v>
      </c>
      <c r="L76" s="7">
        <f>MAX(距离传感器!B70:B77)</f>
        <v>2593.3</v>
      </c>
    </row>
    <row r="77" ht="18" customHeight="1" spans="1:12">
      <c r="A77" s="6">
        <f>距离传感器!A14</f>
        <v>80</v>
      </c>
      <c r="B77" s="7">
        <f>距离传感器!B14</f>
        <v>276.8</v>
      </c>
      <c r="C77" s="9">
        <f>1/距离传感器!B77</f>
        <v>0.00361271676300578</v>
      </c>
      <c r="D77" s="7">
        <f>距离传感器!$L$70*距离传感器!C77+距离传感器!$L$71</f>
        <v>82.2560898560397</v>
      </c>
      <c r="E77" s="7">
        <f>距离传感器!D77-距离传感器!A77</f>
        <v>2.25608985603969</v>
      </c>
      <c r="F77" s="7">
        <f>ABS(距离传感器!E77)</f>
        <v>2.25608985603969</v>
      </c>
      <c r="G77" s="7">
        <f>距离传感器!E77^2</f>
        <v>5.08994143852521</v>
      </c>
      <c r="H77" s="2"/>
      <c r="I77" s="2"/>
      <c r="J77" s="2"/>
      <c r="K77" s="10" t="s">
        <v>56</v>
      </c>
      <c r="L77" s="10" t="s">
        <v>57</v>
      </c>
    </row>
    <row r="78" ht="6.75" customHeight="1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6.75" customHeight="1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6.75" customHeight="1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6.75" customHeight="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6.75" customHeight="1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6.75" customHeight="1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6.75" customHeight="1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6.75" customHeight="1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6.75" customHeight="1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6.75" customHeight="1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8" customHeight="1" spans="1:12">
      <c r="A88" s="4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</row>
    <row r="89" ht="18" customHeight="1" spans="1:12">
      <c r="A89" s="4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</row>
    <row r="90" ht="18" customHeight="1" spans="1:12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</row>
  </sheetData>
  <mergeCells count="10">
    <mergeCell ref="A1:G1"/>
    <mergeCell ref="A3:E3"/>
    <mergeCell ref="A4:E4"/>
    <mergeCell ref="A24:F24"/>
    <mergeCell ref="A25:F25"/>
    <mergeCell ref="A45:E45"/>
    <mergeCell ref="A46:E46"/>
    <mergeCell ref="A66:G66"/>
    <mergeCell ref="A67:G67"/>
    <mergeCell ref="A88:G90"/>
  </mergeCell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showGridLines="0" tabSelected="1" topLeftCell="A3" workbookViewId="0">
      <selection activeCell="K29" sqref="K29"/>
    </sheetView>
  </sheetViews>
  <sheetFormatPr defaultColWidth="8.68181818181818" defaultRowHeight="14" outlineLevelCol="6"/>
  <cols>
    <col min="1" max="5" width="13" customWidth="1"/>
    <col min="6" max="6" width="22" customWidth="1"/>
    <col min="7" max="7" width="28" customWidth="1"/>
    <col min="8" max="10" width="18" customWidth="1"/>
    <col min="11" max="11" width="29" customWidth="1"/>
    <col min="12" max="12" width="23" customWidth="1"/>
    <col min="13" max="26" width="18" customWidth="1"/>
  </cols>
  <sheetData>
    <row r="1" ht="25.5" customHeight="1" spans="1:7">
      <c r="A1" s="1" t="s">
        <v>58</v>
      </c>
      <c r="B1" s="1"/>
      <c r="C1" s="1"/>
      <c r="D1" s="1"/>
      <c r="E1" s="1"/>
      <c r="F1" s="1"/>
      <c r="G1" s="1"/>
    </row>
    <row r="2" ht="12" customHeight="1" spans="1:7">
      <c r="A2" s="2"/>
      <c r="B2" s="2"/>
      <c r="C2" s="2"/>
      <c r="D2" s="2"/>
      <c r="E2" s="2"/>
      <c r="F2" s="2"/>
      <c r="G2" s="2"/>
    </row>
    <row r="3" ht="24" customHeight="1" spans="1:7">
      <c r="A3" s="3" t="s">
        <v>59</v>
      </c>
      <c r="B3" s="3"/>
      <c r="C3" s="3"/>
      <c r="D3" s="3"/>
      <c r="E3" s="3"/>
      <c r="F3" s="2"/>
      <c r="G3" s="2"/>
    </row>
    <row r="4" ht="33.75" customHeight="1" spans="1:7">
      <c r="A4" s="4" t="s">
        <v>60</v>
      </c>
      <c r="B4" s="4"/>
      <c r="C4" s="4"/>
      <c r="D4" s="4"/>
      <c r="E4" s="4"/>
      <c r="F4" s="2"/>
      <c r="G4" s="2"/>
    </row>
    <row r="5" ht="6.75" customHeight="1" spans="1:7">
      <c r="A5" s="2"/>
      <c r="B5" s="2"/>
      <c r="C5" s="2"/>
      <c r="D5" s="2"/>
      <c r="E5" s="2"/>
      <c r="F5" s="2"/>
      <c r="G5" s="2"/>
    </row>
    <row r="6" ht="30" customHeight="1" spans="1:7">
      <c r="A6" s="5" t="s">
        <v>61</v>
      </c>
      <c r="B6" s="5" t="s">
        <v>62</v>
      </c>
      <c r="C6" s="5" t="s">
        <v>63</v>
      </c>
      <c r="D6" s="5" t="s">
        <v>64</v>
      </c>
      <c r="E6" s="5" t="s">
        <v>65</v>
      </c>
      <c r="F6" s="2"/>
      <c r="G6" s="2"/>
    </row>
    <row r="7" ht="18" customHeight="1" spans="1:7">
      <c r="A7" s="6">
        <v>1</v>
      </c>
      <c r="B7" s="6">
        <v>2450</v>
      </c>
      <c r="C7" s="6">
        <v>1280</v>
      </c>
      <c r="D7" s="6">
        <v>455</v>
      </c>
      <c r="E7" s="6">
        <v>125</v>
      </c>
      <c r="F7" s="2"/>
      <c r="G7" s="2"/>
    </row>
    <row r="8" ht="18" customHeight="1" spans="1:7">
      <c r="A8" s="6">
        <v>2</v>
      </c>
      <c r="B8" s="6">
        <v>2050</v>
      </c>
      <c r="C8" s="6">
        <v>1000</v>
      </c>
      <c r="D8" s="6">
        <v>355</v>
      </c>
      <c r="E8" s="6">
        <v>125</v>
      </c>
      <c r="F8" s="2"/>
      <c r="G8" s="2"/>
    </row>
    <row r="9" ht="18" customHeight="1" spans="1:7">
      <c r="A9" s="6">
        <v>3</v>
      </c>
      <c r="B9" s="6">
        <v>1350</v>
      </c>
      <c r="C9" s="6">
        <v>880</v>
      </c>
      <c r="D9" s="6">
        <v>290</v>
      </c>
      <c r="E9" s="6">
        <v>110</v>
      </c>
      <c r="F9" s="2"/>
      <c r="G9" s="2"/>
    </row>
    <row r="10" ht="18" customHeight="1" spans="1:7">
      <c r="A10" s="6">
        <v>4</v>
      </c>
      <c r="B10" s="6">
        <v>930</v>
      </c>
      <c r="C10" s="6">
        <v>640</v>
      </c>
      <c r="D10" s="6">
        <v>243</v>
      </c>
      <c r="E10" s="6">
        <v>96</v>
      </c>
      <c r="F10" s="2"/>
      <c r="G10" s="2"/>
    </row>
    <row r="11" ht="18" customHeight="1" spans="1:7">
      <c r="A11" s="6">
        <v>5</v>
      </c>
      <c r="B11" s="6">
        <v>630</v>
      </c>
      <c r="C11" s="6">
        <v>460</v>
      </c>
      <c r="D11" s="6">
        <v>200</v>
      </c>
      <c r="E11" s="6">
        <v>85</v>
      </c>
      <c r="F11" s="2"/>
      <c r="G11" s="2"/>
    </row>
    <row r="12" ht="18" customHeight="1" spans="1:7">
      <c r="A12" s="6">
        <v>6</v>
      </c>
      <c r="B12" s="6">
        <v>535</v>
      </c>
      <c r="C12" s="6">
        <v>335</v>
      </c>
      <c r="D12" s="6">
        <v>150</v>
      </c>
      <c r="E12" s="6">
        <v>80</v>
      </c>
      <c r="F12" s="2"/>
      <c r="G12" s="2"/>
    </row>
    <row r="13" ht="18" customHeight="1" spans="1:7">
      <c r="A13" s="6">
        <v>7</v>
      </c>
      <c r="B13" s="6">
        <v>380</v>
      </c>
      <c r="C13" s="6">
        <v>245</v>
      </c>
      <c r="D13" s="6">
        <v>123</v>
      </c>
      <c r="E13" s="6">
        <v>68</v>
      </c>
      <c r="F13" s="2"/>
      <c r="G13" s="2"/>
    </row>
    <row r="14" ht="18" customHeight="1" spans="1:7">
      <c r="A14" s="6">
        <v>8</v>
      </c>
      <c r="B14" s="6">
        <v>270</v>
      </c>
      <c r="C14" s="6">
        <v>150</v>
      </c>
      <c r="D14" s="6">
        <v>90</v>
      </c>
      <c r="E14" s="6">
        <v>65</v>
      </c>
      <c r="F14" s="2"/>
      <c r="G14" s="2"/>
    </row>
    <row r="15" ht="18" customHeight="1" spans="1:7">
      <c r="A15" s="6">
        <v>9</v>
      </c>
      <c r="B15" s="6">
        <v>185</v>
      </c>
      <c r="C15" s="6">
        <v>113</v>
      </c>
      <c r="D15" s="6">
        <v>80</v>
      </c>
      <c r="E15" s="6">
        <v>65</v>
      </c>
      <c r="F15" s="2"/>
      <c r="G15" s="2"/>
    </row>
    <row r="16" ht="6.75" customHeight="1" spans="1:7">
      <c r="A16" s="2"/>
      <c r="B16" s="2"/>
      <c r="C16" s="2"/>
      <c r="D16" s="2"/>
      <c r="E16" s="2"/>
      <c r="F16" s="2"/>
      <c r="G16" s="2"/>
    </row>
    <row r="17" ht="6.75" customHeight="1" spans="1:7">
      <c r="A17" s="2"/>
      <c r="B17" s="2"/>
      <c r="C17" s="2"/>
      <c r="D17" s="2"/>
      <c r="E17" s="2"/>
      <c r="F17" s="2"/>
      <c r="G17" s="2"/>
    </row>
    <row r="18" ht="6.75" customHeight="1" spans="1:7">
      <c r="A18" s="2"/>
      <c r="B18" s="2"/>
      <c r="C18" s="2"/>
      <c r="D18" s="2"/>
      <c r="E18" s="2"/>
      <c r="F18" s="2"/>
      <c r="G18" s="2"/>
    </row>
    <row r="19" ht="6.75" customHeight="1" spans="1:7">
      <c r="A19" s="2"/>
      <c r="B19" s="2"/>
      <c r="C19" s="2"/>
      <c r="D19" s="2"/>
      <c r="E19" s="2"/>
      <c r="F19" s="2"/>
      <c r="G19" s="2"/>
    </row>
    <row r="20" ht="6.75" customHeight="1" spans="1:7">
      <c r="A20" s="2"/>
      <c r="B20" s="2"/>
      <c r="C20" s="2"/>
      <c r="D20" s="2"/>
      <c r="E20" s="2"/>
      <c r="F20" s="2"/>
      <c r="G20" s="2"/>
    </row>
    <row r="21" ht="6.75" customHeight="1" spans="1:7">
      <c r="A21" s="2"/>
      <c r="B21" s="2"/>
      <c r="C21" s="2"/>
      <c r="D21" s="2"/>
      <c r="E21" s="2"/>
      <c r="F21" s="2"/>
      <c r="G21" s="2"/>
    </row>
    <row r="22" ht="6.75" customHeight="1" spans="1:7">
      <c r="A22" s="2"/>
      <c r="B22" s="2"/>
      <c r="C22" s="2"/>
      <c r="D22" s="2"/>
      <c r="E22" s="2"/>
      <c r="F22" s="2"/>
      <c r="G22" s="2"/>
    </row>
    <row r="23" ht="6.75" customHeight="1" spans="1:7">
      <c r="A23" s="2"/>
      <c r="B23" s="2"/>
      <c r="C23" s="2"/>
      <c r="D23" s="2"/>
      <c r="E23" s="2"/>
      <c r="F23" s="2"/>
      <c r="G23" s="2"/>
    </row>
    <row r="24" ht="6.75" customHeight="1" spans="1:7">
      <c r="A24" s="2"/>
      <c r="B24" s="2"/>
      <c r="C24" s="2"/>
      <c r="D24" s="2"/>
      <c r="E24" s="2"/>
      <c r="F24" s="2"/>
      <c r="G24" s="2"/>
    </row>
    <row r="25" ht="24" customHeight="1" spans="1:7">
      <c r="A25" s="3" t="s">
        <v>66</v>
      </c>
      <c r="B25" s="3"/>
      <c r="C25" s="3"/>
      <c r="D25" s="3"/>
      <c r="E25" s="3"/>
      <c r="F25" s="2"/>
      <c r="G25" s="2"/>
    </row>
    <row r="26" ht="33.75" customHeight="1" spans="1:7">
      <c r="A26" s="4"/>
      <c r="B26" s="4"/>
      <c r="C26" s="4"/>
      <c r="D26" s="4"/>
      <c r="E26" s="4"/>
      <c r="F26" s="2"/>
      <c r="G26" s="2"/>
    </row>
    <row r="27" ht="6.75" customHeight="1" spans="1:7">
      <c r="A27" s="2"/>
      <c r="B27" s="2"/>
      <c r="C27" s="2"/>
      <c r="D27" s="2"/>
      <c r="E27" s="2"/>
      <c r="F27" s="2"/>
      <c r="G27" s="2"/>
    </row>
    <row r="28" ht="30" customHeight="1" spans="1:7">
      <c r="A28" s="5" t="s">
        <v>61</v>
      </c>
      <c r="B28" s="5" t="s">
        <v>67</v>
      </c>
      <c r="C28" s="5" t="s">
        <v>68</v>
      </c>
      <c r="D28" s="5" t="s">
        <v>69</v>
      </c>
      <c r="E28" s="5" t="s">
        <v>70</v>
      </c>
      <c r="F28" s="2"/>
      <c r="G28" s="2"/>
    </row>
    <row r="29" ht="18" customHeight="1" spans="1:7">
      <c r="A29" s="6">
        <v>1</v>
      </c>
      <c r="B29" s="6">
        <v>1256</v>
      </c>
      <c r="C29" s="6">
        <v>1760</v>
      </c>
      <c r="D29" s="7">
        <f>灰度传感器!C29-灰度传感器!B29</f>
        <v>504</v>
      </c>
      <c r="E29" s="8">
        <f>IFERROR(灰度传感器!D29/灰度传感器!B29,"")</f>
        <v>0.401273885350318</v>
      </c>
      <c r="F29" s="2"/>
      <c r="G29" s="2"/>
    </row>
    <row r="30" ht="18" customHeight="1" spans="1:7">
      <c r="A30" s="6">
        <v>2</v>
      </c>
      <c r="B30" s="6">
        <v>959</v>
      </c>
      <c r="C30" s="6">
        <v>1347</v>
      </c>
      <c r="D30" s="7">
        <f>灰度传感器!C30-灰度传感器!B30</f>
        <v>388</v>
      </c>
      <c r="E30" s="8">
        <f>IFERROR(灰度传感器!D30/灰度传感器!B30,"")</f>
        <v>0.40458811261731</v>
      </c>
      <c r="F30" s="2"/>
      <c r="G30" s="2"/>
    </row>
    <row r="31" ht="18" customHeight="1" spans="1:7">
      <c r="A31" s="6">
        <v>3</v>
      </c>
      <c r="B31" s="6">
        <v>748</v>
      </c>
      <c r="C31" s="6">
        <v>1069</v>
      </c>
      <c r="D31" s="7">
        <f>灰度传感器!C31-灰度传感器!B31</f>
        <v>321</v>
      </c>
      <c r="E31" s="8">
        <f>IFERROR(灰度传感器!D31/灰度传感器!B31,"")</f>
        <v>0.429144385026738</v>
      </c>
      <c r="F31" s="2"/>
      <c r="G31" s="2"/>
    </row>
    <row r="32" ht="18" customHeight="1" spans="1:7">
      <c r="A32" s="6">
        <v>4</v>
      </c>
      <c r="B32" s="6">
        <v>554</v>
      </c>
      <c r="C32" s="6">
        <v>774</v>
      </c>
      <c r="D32" s="7">
        <f>灰度传感器!C32-灰度传感器!B32</f>
        <v>220</v>
      </c>
      <c r="E32" s="8">
        <f>IFERROR(灰度传感器!D32/灰度传感器!B32,"")</f>
        <v>0.397111913357401</v>
      </c>
      <c r="F32" s="2"/>
      <c r="G32" s="2"/>
    </row>
    <row r="33" ht="18" customHeight="1" spans="1:7">
      <c r="A33" s="6">
        <v>5</v>
      </c>
      <c r="B33" s="6">
        <v>419</v>
      </c>
      <c r="C33" s="6">
        <v>578</v>
      </c>
      <c r="D33" s="7">
        <f>灰度传感器!C33-灰度传感器!B33</f>
        <v>159</v>
      </c>
      <c r="E33" s="8">
        <f>IFERROR(灰度传感器!D33/灰度传感器!B33,"")</f>
        <v>0.379474940334129</v>
      </c>
      <c r="F33" s="2"/>
      <c r="G33" s="2"/>
    </row>
    <row r="34" ht="18" customHeight="1" spans="1:7">
      <c r="A34" s="6">
        <v>6</v>
      </c>
      <c r="B34" s="6">
        <v>351</v>
      </c>
      <c r="C34" s="6">
        <v>418</v>
      </c>
      <c r="D34" s="7">
        <f>灰度传感器!C34-灰度传感器!B34</f>
        <v>67</v>
      </c>
      <c r="E34" s="8">
        <f>IFERROR(灰度传感器!D34/灰度传感器!B34,"")</f>
        <v>0.190883190883191</v>
      </c>
      <c r="F34" s="2"/>
      <c r="G34" s="2"/>
    </row>
    <row r="35" ht="18" customHeight="1" spans="1:7">
      <c r="A35" s="6">
        <v>7</v>
      </c>
      <c r="B35" s="6">
        <v>263</v>
      </c>
      <c r="C35" s="6">
        <v>270</v>
      </c>
      <c r="D35" s="7">
        <f>灰度传感器!C35-灰度传感器!B35</f>
        <v>7</v>
      </c>
      <c r="E35" s="8">
        <f>IFERROR(灰度传感器!D35/灰度传感器!B35,"")</f>
        <v>0.026615969581749</v>
      </c>
      <c r="F35" s="2"/>
      <c r="G35" s="2"/>
    </row>
    <row r="36" ht="18" customHeight="1" spans="1:7">
      <c r="A36" s="6">
        <v>8</v>
      </c>
      <c r="B36" s="6">
        <v>218</v>
      </c>
      <c r="C36" s="6">
        <v>204</v>
      </c>
      <c r="D36" s="7">
        <f>灰度传感器!C36-灰度传感器!B36</f>
        <v>-14</v>
      </c>
      <c r="E36" s="8">
        <f>IFERROR(灰度传感器!D36/灰度传感器!B36,"")</f>
        <v>-0.0642201834862385</v>
      </c>
      <c r="F36" s="2"/>
      <c r="G36" s="2"/>
    </row>
    <row r="37" ht="18" customHeight="1" spans="1:7">
      <c r="A37" s="6">
        <v>9</v>
      </c>
      <c r="B37" s="6">
        <v>175</v>
      </c>
      <c r="C37" s="6">
        <v>148</v>
      </c>
      <c r="D37" s="7">
        <f>灰度传感器!C37-灰度传感器!B37</f>
        <v>-27</v>
      </c>
      <c r="E37" s="8">
        <f>IFERROR(灰度传感器!D37/灰度传感器!B37,"")</f>
        <v>-0.154285714285714</v>
      </c>
      <c r="F37" s="2"/>
      <c r="G37" s="2"/>
    </row>
    <row r="38" ht="6.75" customHeight="1" spans="1:7">
      <c r="A38" s="2"/>
      <c r="B38" s="2"/>
      <c r="C38" s="2"/>
      <c r="D38" s="2"/>
      <c r="E38" s="2"/>
      <c r="F38" s="2"/>
      <c r="G38" s="2"/>
    </row>
    <row r="39" ht="6.75" customHeight="1" spans="1:7">
      <c r="A39" s="2"/>
      <c r="B39" s="2"/>
      <c r="C39" s="2"/>
      <c r="D39" s="2"/>
      <c r="E39" s="2"/>
      <c r="F39" s="2"/>
      <c r="G39" s="2"/>
    </row>
    <row r="40" ht="6.75" customHeight="1" spans="1:7">
      <c r="A40" s="2"/>
      <c r="B40" s="2"/>
      <c r="C40" s="2"/>
      <c r="D40" s="2"/>
      <c r="E40" s="2"/>
      <c r="F40" s="2"/>
      <c r="G40" s="2"/>
    </row>
    <row r="41" ht="6.75" customHeight="1" spans="1:7">
      <c r="A41" s="2"/>
      <c r="B41" s="2"/>
      <c r="C41" s="2"/>
      <c r="D41" s="2"/>
      <c r="E41" s="2"/>
      <c r="F41" s="2"/>
      <c r="G41" s="2"/>
    </row>
    <row r="42" ht="6.75" customHeight="1" spans="1:7">
      <c r="A42" s="2"/>
      <c r="B42" s="2"/>
      <c r="C42" s="2"/>
      <c r="D42" s="2"/>
      <c r="E42" s="2"/>
      <c r="F42" s="2"/>
      <c r="G42" s="2"/>
    </row>
    <row r="43" ht="6.75" customHeight="1" spans="1:7">
      <c r="A43" s="2"/>
      <c r="B43" s="2"/>
      <c r="C43" s="2"/>
      <c r="D43" s="2"/>
      <c r="E43" s="2"/>
      <c r="F43" s="2"/>
      <c r="G43" s="2"/>
    </row>
    <row r="44" ht="6.75" customHeight="1" spans="1:7">
      <c r="A44" s="2"/>
      <c r="B44" s="2"/>
      <c r="C44" s="2"/>
      <c r="D44" s="2"/>
      <c r="E44" s="2"/>
      <c r="F44" s="2"/>
      <c r="G44" s="2"/>
    </row>
    <row r="45" ht="6.75" customHeight="1" spans="1:7">
      <c r="A45" s="2"/>
      <c r="B45" s="2"/>
      <c r="C45" s="2"/>
      <c r="D45" s="2"/>
      <c r="E45" s="2"/>
      <c r="F45" s="2"/>
      <c r="G45" s="2"/>
    </row>
    <row r="46" ht="6.75" customHeight="1" spans="1:7">
      <c r="A46" s="2"/>
      <c r="B46" s="2"/>
      <c r="C46" s="2"/>
      <c r="D46" s="2"/>
      <c r="E46" s="2"/>
      <c r="F46" s="2"/>
      <c r="G46" s="2"/>
    </row>
    <row r="47" ht="18" customHeight="1" spans="1:7">
      <c r="A47" s="4"/>
      <c r="B47" s="4"/>
      <c r="C47" s="4"/>
      <c r="D47" s="4"/>
      <c r="E47" s="4"/>
      <c r="F47" s="4"/>
      <c r="G47" s="4"/>
    </row>
    <row r="48" ht="18" customHeight="1" spans="1:7">
      <c r="A48" s="4"/>
      <c r="B48" s="4"/>
      <c r="C48" s="4"/>
      <c r="D48" s="4"/>
      <c r="E48" s="4"/>
      <c r="F48" s="4"/>
      <c r="G48" s="4"/>
    </row>
    <row r="49" ht="18" customHeight="1" spans="1:7">
      <c r="A49" s="4"/>
      <c r="B49" s="4"/>
      <c r="C49" s="4"/>
      <c r="D49" s="4"/>
      <c r="E49" s="4"/>
      <c r="F49" s="4"/>
      <c r="G49" s="4"/>
    </row>
  </sheetData>
  <mergeCells count="6">
    <mergeCell ref="A1:G1"/>
    <mergeCell ref="A3:E3"/>
    <mergeCell ref="A4:E4"/>
    <mergeCell ref="A25:E25"/>
    <mergeCell ref="A26:E26"/>
    <mergeCell ref="A47:G49"/>
  </mergeCell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LibreOfficeDev/26.8.0.3$Windows_X86_64 LibreOffice_project/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光电传感器</vt:lpstr>
      <vt:lpstr>距离传感器</vt:lpstr>
      <vt:lpstr>灰度传感器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韩颂义</cp:lastModifiedBy>
  <cp:revision>1</cp:revision>
  <dcterms:created xsi:type="dcterms:W3CDTF">2026-10-27T06:22:00Z</dcterms:created>
  <dcterms:modified xsi:type="dcterms:W3CDTF">2026-10-27T06:30:11Z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75D2660007B948D5B0986E7D90E651F1_12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